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ardoMarquez\Documents\"/>
    </mc:Choice>
  </mc:AlternateContent>
  <bookViews>
    <workbookView xWindow="0" yWindow="0" windowWidth="28800" windowHeight="12435"/>
  </bookViews>
  <sheets>
    <sheet name="MyPortfolio" sheetId="2" r:id="rId1"/>
    <sheet name="DataSource" sheetId="1" r:id="rId2"/>
  </sheets>
  <definedNames>
    <definedName name="_xlnm._FilterDatabase" localSheetId="1" hidden="1">DataSource!$B$4:$O$1126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2" l="1"/>
  <c r="Q20" i="2" l="1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9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F9" i="2"/>
  <c r="F12" i="2" l="1"/>
  <c r="J21" i="2"/>
  <c r="H21" i="2"/>
  <c r="I21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9" i="2"/>
  <c r="J10" i="2"/>
  <c r="J11" i="2"/>
  <c r="J12" i="2"/>
  <c r="J13" i="2"/>
  <c r="J14" i="2"/>
  <c r="J15" i="2"/>
  <c r="J16" i="2"/>
  <c r="J17" i="2"/>
  <c r="J18" i="2"/>
  <c r="J19" i="2"/>
  <c r="J20" i="2"/>
  <c r="J22" i="2"/>
  <c r="J23" i="2"/>
  <c r="J24" i="2"/>
  <c r="J25" i="2"/>
  <c r="J26" i="2"/>
  <c r="J27" i="2"/>
  <c r="J28" i="2"/>
  <c r="J30" i="2"/>
  <c r="J31" i="2"/>
  <c r="J32" i="2"/>
  <c r="J33" i="2"/>
  <c r="J9" i="2"/>
  <c r="H10" i="2"/>
  <c r="Q10" i="2" s="1"/>
  <c r="H11" i="2"/>
  <c r="Q11" i="2" s="1"/>
  <c r="H12" i="2"/>
  <c r="Q12" i="2" s="1"/>
  <c r="H13" i="2"/>
  <c r="Q13" i="2" s="1"/>
  <c r="H14" i="2"/>
  <c r="Q14" i="2" s="1"/>
  <c r="H15" i="2"/>
  <c r="Q15" i="2" s="1"/>
  <c r="H16" i="2"/>
  <c r="Q16" i="2" s="1"/>
  <c r="H17" i="2"/>
  <c r="Q17" i="2" s="1"/>
  <c r="H18" i="2"/>
  <c r="Q18" i="2" s="1"/>
  <c r="H19" i="2"/>
  <c r="Q19" i="2" s="1"/>
  <c r="H20" i="2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30" i="2"/>
  <c r="I30" i="2" s="1"/>
  <c r="H31" i="2"/>
  <c r="I31" i="2" s="1"/>
  <c r="H32" i="2"/>
  <c r="I32" i="2" s="1"/>
  <c r="H33" i="2"/>
  <c r="I33" i="2" s="1"/>
  <c r="H9" i="2"/>
  <c r="Q9" i="2" s="1"/>
  <c r="I19" i="2" l="1"/>
  <c r="I18" i="2" l="1"/>
  <c r="P34" i="2"/>
  <c r="J34" i="2"/>
  <c r="H34" i="2"/>
  <c r="I10" i="2"/>
  <c r="I11" i="2"/>
  <c r="I12" i="2"/>
  <c r="I14" i="2"/>
  <c r="I15" i="2"/>
  <c r="I16" i="2"/>
  <c r="I17" i="2"/>
  <c r="I20" i="2" l="1"/>
  <c r="I13" i="2"/>
  <c r="I9" i="2"/>
  <c r="I34" i="2" l="1"/>
  <c r="L4" i="2" s="1"/>
  <c r="L5" i="2" s="1"/>
</calcChain>
</file>

<file path=xl/comments1.xml><?xml version="1.0" encoding="utf-8"?>
<comments xmlns="http://schemas.openxmlformats.org/spreadsheetml/2006/main">
  <authors>
    <author>Ricardo Marquez</author>
  </authors>
  <commentList>
    <comment ref="D34" authorId="0" shapeId="0">
      <text>
        <r>
          <rPr>
            <b/>
            <sz val="9"/>
            <color indexed="81"/>
            <rFont val="Tahoma"/>
            <family val="2"/>
          </rPr>
          <t>This is used as a reference value only, no need to change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<sst xmlns="http://schemas.openxmlformats.org/spreadsheetml/2006/main" count="3426" uniqueCount="3337">
  <si>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</si>
  <si>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</si>
  <si>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</si>
  <si>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</si>
  <si>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</si>
  <si>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</si>
  <si>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</si>
  <si>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</si>
  <si>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</si>
  <si>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</si>
  <si>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</si>
  <si>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</si>
  <si>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</si>
  <si>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</si>
  <si>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</si>
  <si>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</si>
  <si>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</si>
  <si>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</si>
  <si>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</si>
  <si>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</si>
  <si>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</si>
  <si>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</si>
  <si>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</si>
  <si>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</si>
  <si>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</si>
  <si>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</si>
  <si>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Stellar Lumens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</si>
  <si>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</si>
  <si>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</si>
  <si>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</si>
  <si>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</si>
  <si>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</si>
  <si>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</si>
  <si>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</si>
  <si>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</si>
  <si>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</si>
  <si>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</si>
  <si>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</si>
  <si>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</si>
  <si>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</si>
  <si>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</si>
  <si>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</si>
  <si>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</si>
  <si>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</si>
  <si>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</si>
  <si>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</si>
  <si>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</si>
  <si>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</si>
  <si>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</si>
  <si>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</si>
  <si>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</si>
  <si>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</si>
  <si>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</si>
  <si>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</si>
  <si>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</si>
  <si>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</si>
  <si>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</si>
  <si>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</si>
  <si>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</si>
  <si>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</si>
  <si>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</si>
  <si>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</si>
  <si>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</si>
  <si>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</si>
  <si>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NoLimitCoin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</si>
  <si>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</si>
  <si>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</si>
  <si>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</si>
  <si>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</si>
  <si>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</si>
  <si>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</si>
  <si>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</si>
  <si>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</si>
  <si>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</si>
  <si>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</si>
  <si>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</si>
  <si>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ICO</t>
  </si>
  <si>
    <t>Tierion</t>
  </si>
  <si>
    <t>NAV Coin</t>
  </si>
  <si>
    <t>Edgeless</t>
  </si>
  <si>
    <t>DECENT</t>
  </si>
  <si>
    <t>district0x</t>
  </si>
  <si>
    <t>Bitquence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</si>
  <si>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</si>
  <si>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</si>
  <si>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</si>
  <si>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</si>
  <si>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</si>
  <si>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</si>
  <si>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</si>
  <si>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</si>
  <si>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</si>
  <si>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</si>
  <si>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</si>
  <si>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</si>
  <si>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</si>
  <si>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</si>
  <si>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</si>
  <si>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</si>
  <si>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</si>
  <si>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</si>
  <si>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</si>
  <si>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</si>
  <si>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</si>
  <si>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</si>
  <si>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Round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</si>
  <si>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</si>
  <si>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</si>
  <si>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</si>
  <si>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</si>
  <si>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</si>
  <si>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</si>
  <si>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</si>
  <si>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</si>
  <si>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</si>
  <si>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</si>
  <si>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</si>
  <si>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</si>
  <si>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</si>
  <si>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</si>
  <si>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</si>
  <si>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</si>
  <si>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</si>
  <si>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</si>
  <si>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</si>
  <si>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</si>
  <si>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</si>
  <si>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</si>
  <si>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</si>
  <si>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</si>
  <si>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</si>
  <si>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</si>
  <si>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</si>
  <si>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</si>
  <si>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</si>
  <si>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</si>
  <si>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</si>
  <si>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</si>
  <si>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EB3 Coin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</si>
  <si>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</si>
  <si>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</si>
  <si>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</si>
  <si>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</si>
  <si>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</si>
  <si>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</si>
  <si>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</si>
  <si>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</si>
  <si>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</si>
  <si>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</si>
  <si>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</si>
  <si>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</si>
  <si>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</si>
  <si>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OpenAnx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</si>
  <si>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</si>
  <si>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</si>
  <si>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</si>
  <si>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</si>
  <si>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</si>
  <si>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</si>
  <si>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</si>
  <si>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</si>
  <si>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</si>
  <si>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</si>
  <si>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YbCoin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</si>
  <si>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</si>
  <si>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</si>
  <si>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</si>
  <si>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</si>
  <si>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</si>
  <si>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</si>
  <si>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</si>
  <si>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</si>
  <si>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</si>
  <si>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</si>
  <si>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</si>
  <si>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</si>
  <si>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</si>
  <si>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</si>
  <si>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</si>
  <si>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</si>
  <si>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</si>
  <si>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</si>
  <si>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Groestlcoin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</si>
  <si>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</si>
  <si>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</si>
  <si>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</si>
  <si>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</si>
  <si>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</si>
  <si>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</si>
  <si>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</si>
  <si>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</si>
  <si>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</si>
  <si>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</si>
  <si>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</si>
  <si>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E-Currency Coin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</si>
  <si>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</si>
  <si>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</si>
  <si>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</si>
  <si>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</si>
  <si>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</si>
  <si>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</si>
  <si>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</si>
  <si>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</si>
  <si>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</si>
  <si>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</si>
  <si>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</si>
  <si>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</si>
  <si>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</si>
  <si>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</si>
  <si>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</si>
  <si>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</si>
  <si>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</si>
  <si>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</si>
  <si>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</si>
  <si>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</si>
  <si>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</si>
  <si>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</si>
  <si>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</si>
  <si>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Bitland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</si>
  <si>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</si>
  <si>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</si>
  <si>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</si>
  <si>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</si>
  <si>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</si>
  <si>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</si>
  <si>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</si>
  <si>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</si>
  <si>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</si>
  <si>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</si>
  <si>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</si>
  <si>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</si>
  <si>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</si>
  <si>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</si>
  <si>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</si>
  <si>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</si>
  <si>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</si>
  <si>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</si>
  <si>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</si>
  <si>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</si>
  <si>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</si>
  <si>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</si>
  <si>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</si>
  <si>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</si>
  <si>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</si>
  <si>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</si>
  <si>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</si>
  <si>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</si>
  <si>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</si>
  <si>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</si>
  <si>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</si>
  <si>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</si>
  <si>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</si>
  <si>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</si>
  <si>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</si>
  <si>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</si>
  <si>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</si>
  <si>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</si>
  <si>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</si>
  <si>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KoreCoin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</si>
  <si>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</si>
  <si>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</si>
  <si>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</si>
  <si>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</si>
  <si>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</si>
  <si>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</si>
  <si>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</si>
  <si>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</si>
  <si>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</si>
  <si>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</si>
  <si>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</si>
  <si>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</si>
  <si>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</si>
  <si>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EncryptoTel</t>
  </si>
  <si>
    <t>ATC Coin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</si>
  <si>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</si>
  <si>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</si>
  <si>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</si>
  <si>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</si>
  <si>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</si>
  <si>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</si>
  <si>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</si>
  <si>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</si>
  <si>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</si>
  <si>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</si>
  <si>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</si>
  <si>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NautilusCoin</t>
  </si>
  <si>
    <t>AsiaCoin</t>
  </si>
  <si>
    <t>ZcCoin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</si>
  <si>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</si>
  <si>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</si>
  <si>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</si>
  <si>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</si>
  <si>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</si>
  <si>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</si>
  <si>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</si>
  <si>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</si>
  <si>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</si>
  <si>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</si>
  <si>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</si>
  <si>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</si>
  <si>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</si>
  <si>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</si>
  <si>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</si>
  <si>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</si>
  <si>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VOISE</t>
  </si>
  <si>
    <t>Dentacoin</t>
  </si>
  <si>
    <t>Bata</t>
  </si>
  <si>
    <t>Krypstal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</si>
  <si>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</si>
  <si>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</si>
  <si>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</si>
  <si>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</si>
  <si>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</si>
  <si>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</si>
  <si>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</si>
  <si>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</si>
  <si>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</si>
  <si>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</si>
  <si>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</si>
  <si>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</si>
  <si>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Memetic</t>
  </si>
  <si>
    <t>Linda</t>
  </si>
  <si>
    <t>InPay</t>
  </si>
  <si>
    <t>808Coin</t>
  </si>
  <si>
    <t>EverGreenCoin</t>
  </si>
  <si>
    <t>HempCoin</t>
  </si>
  <si>
    <t>Starta</t>
  </si>
  <si>
    <t>CoEval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</si>
  <si>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</si>
  <si>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</si>
  <si>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</si>
  <si>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</si>
  <si>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</si>
  <si>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</si>
  <si>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</si>
  <si>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</si>
  <si>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</si>
  <si>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</si>
  <si>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</si>
  <si>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</si>
  <si>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</si>
  <si>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</si>
  <si>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</si>
  <si>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</si>
  <si>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</si>
  <si>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</si>
  <si>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</si>
  <si>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</si>
  <si>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</si>
  <si>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</si>
  <si>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</si>
  <si>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</si>
  <si>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</si>
  <si>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</si>
  <si>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</si>
  <si>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</si>
  <si>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</si>
  <si>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</si>
  <si>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</si>
  <si>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</si>
  <si>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</si>
  <si>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</si>
  <si>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</si>
  <si>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</si>
  <si>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</si>
  <si>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DT Token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</si>
  <si>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</si>
  <si>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</si>
  <si>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</si>
  <si>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</si>
  <si>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</si>
  <si>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</si>
  <si>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</si>
  <si>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</si>
  <si>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</si>
  <si>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</si>
  <si>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</si>
  <si>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</si>
  <si>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</si>
  <si>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</si>
  <si>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</si>
  <si>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</si>
  <si>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Tickets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</si>
  <si>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</si>
  <si>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</si>
  <si>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</si>
  <si>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</si>
  <si>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</si>
  <si>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</si>
  <si>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</si>
  <si>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</si>
  <si>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</si>
  <si>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</si>
  <si>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</si>
  <si>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TileCoin</t>
  </si>
  <si>
    <t>Ripto Bux</t>
  </si>
  <si>
    <t>ProCurrency</t>
  </si>
  <si>
    <t>Linx</t>
  </si>
  <si>
    <t>Octanox</t>
  </si>
  <si>
    <t>Sovereign Hero</t>
  </si>
  <si>
    <t>NobleCoin</t>
  </si>
  <si>
    <t>Unify</t>
  </si>
  <si>
    <t>WavesGo</t>
  </si>
  <si>
    <t>NetCoin</t>
  </si>
  <si>
    <t>UnbreakableCoin</t>
  </si>
  <si>
    <t>Hacker Gold</t>
  </si>
  <si>
    <t>Devcoin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</si>
  <si>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</si>
  <si>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</si>
  <si>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</si>
  <si>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</si>
  <si>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</si>
  <si>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</si>
  <si>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</si>
  <si>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</si>
  <si>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</si>
  <si>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</si>
  <si>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</si>
  <si>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</si>
  <si>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</si>
  <si>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</si>
  <si>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</si>
  <si>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</si>
  <si>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</si>
  <si>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</si>
  <si>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Karbowanec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</si>
  <si>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</si>
  <si>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</si>
  <si>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</si>
  <si>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</si>
  <si>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</si>
  <si>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</si>
  <si>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</si>
  <si>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</si>
  <si>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</si>
  <si>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</si>
  <si>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</si>
  <si>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</si>
  <si>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</si>
  <si>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</si>
  <si>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</si>
  <si>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</si>
  <si>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</si>
  <si>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</si>
  <si>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</si>
  <si>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</si>
  <si>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</si>
  <si>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</si>
  <si>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DAS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</si>
  <si>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</si>
  <si>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</si>
  <si>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</si>
  <si>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</si>
  <si>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</si>
  <si>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</si>
  <si>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</si>
  <si>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</si>
  <si>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</si>
  <si>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</si>
  <si>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</si>
  <si>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</si>
  <si>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</si>
  <si>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</si>
  <si>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</si>
  <si>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</si>
  <si>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</si>
  <si>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</si>
  <si>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</si>
  <si>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</si>
  <si>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</si>
  <si>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</si>
  <si>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</si>
  <si>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</si>
  <si>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</si>
  <si>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</si>
  <si>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</si>
  <si>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</si>
  <si>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</si>
  <si>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</si>
  <si>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</si>
  <si>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</si>
  <si>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</si>
  <si>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</si>
  <si>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</si>
  <si>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</si>
  <si>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</si>
  <si>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</si>
  <si>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</si>
  <si>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</si>
  <si>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</si>
  <si>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</si>
  <si>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</si>
  <si>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</si>
  <si>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</si>
  <si>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</si>
  <si>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</si>
  <si>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</si>
  <si>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</si>
  <si>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</si>
  <si>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</si>
  <si>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</si>
  <si>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Xiaomicoin</t>
  </si>
  <si>
    <t>Mao Zedong</t>
  </si>
  <si>
    <t>Kittehcoin</t>
  </si>
  <si>
    <t>CrevaCoin</t>
  </si>
  <si>
    <t>BitcoinFast</t>
  </si>
  <si>
    <t>CorgiCoin</t>
  </si>
  <si>
    <t>Doubloon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</si>
  <si>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</si>
  <si>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</si>
  <si>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</si>
  <si>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</si>
  <si>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</si>
  <si>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</si>
  <si>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</si>
  <si>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</si>
  <si>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</si>
  <si>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</si>
  <si>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</si>
  <si>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</si>
  <si>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</si>
  <si>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</si>
  <si>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</si>
  <si>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Wexcoin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</si>
  <si>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</si>
  <si>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</si>
  <si>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</si>
  <si>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</si>
  <si>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</si>
  <si>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</si>
  <si>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</si>
  <si>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</si>
  <si>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</si>
  <si>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</si>
  <si>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</si>
  <si>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Stakecoin</t>
  </si>
  <si>
    <t>Pangea Poker</t>
  </si>
  <si>
    <t>YashCoin</t>
  </si>
  <si>
    <t>Arcade Token</t>
  </si>
  <si>
    <t>Carboncoin</t>
  </si>
  <si>
    <t>Greencoin</t>
  </si>
  <si>
    <t>LTBcoin</t>
  </si>
  <si>
    <t>Malcoin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</si>
  <si>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</si>
  <si>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</si>
  <si>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</si>
  <si>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</si>
  <si>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</si>
  <si>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</si>
  <si>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</si>
  <si>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</si>
  <si>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</si>
  <si>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</si>
  <si>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</si>
  <si>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</si>
  <si>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</si>
  <si>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</si>
  <si>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</si>
  <si>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</si>
  <si>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</si>
  <si>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Rare Pepe Party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</si>
  <si>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</si>
  <si>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</si>
  <si>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</si>
  <si>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</si>
  <si>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</si>
  <si>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</si>
  <si>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</si>
  <si>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</si>
  <si>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</si>
  <si>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</si>
  <si>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</si>
  <si>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</si>
  <si>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</si>
  <si>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</si>
  <si>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</si>
  <si>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</si>
  <si>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</si>
  <si>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</si>
  <si>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020LondonCoin</t>
  </si>
  <si>
    <t>Universal Currency</t>
  </si>
  <si>
    <t>SmartCoin</t>
  </si>
  <si>
    <t>Joulecoin</t>
  </si>
  <si>
    <t>Slimcoin</t>
  </si>
  <si>
    <t>Bitstar</t>
  </si>
  <si>
    <t>Cannacoin</t>
  </si>
  <si>
    <t>FuelCoin</t>
  </si>
  <si>
    <t>PayCoin</t>
  </si>
  <si>
    <t>BitcoinTX</t>
  </si>
  <si>
    <t>Flycoin</t>
  </si>
  <si>
    <t>Titcoin</t>
  </si>
  <si>
    <t>MiloCoin</t>
  </si>
  <si>
    <t>LottoCoin</t>
  </si>
  <si>
    <t>AurumCoin</t>
  </si>
  <si>
    <t>ReeCoin</t>
  </si>
  <si>
    <t>Emerald Crypto</t>
  </si>
  <si>
    <t>Bottlecaps</t>
  </si>
  <si>
    <t>Pesobit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</si>
  <si>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</si>
  <si>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</si>
  <si>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</si>
  <si>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</si>
  <si>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</si>
  <si>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</si>
  <si>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</si>
  <si>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</si>
  <si>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</si>
  <si>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</si>
  <si>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</si>
  <si>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</si>
  <si>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</si>
  <si>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</si>
  <si>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</si>
  <si>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</si>
  <si>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</si>
  <si>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</si>
  <si>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</si>
  <si>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</si>
  <si>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</si>
  <si>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</si>
  <si>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</si>
  <si>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</si>
  <si>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</si>
  <si>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</si>
  <si>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</si>
  <si>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</si>
  <si>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</si>
  <si>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</si>
  <si>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</si>
  <si>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</si>
  <si>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</si>
  <si>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</si>
  <si>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</si>
  <si>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</si>
  <si>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</si>
  <si>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</si>
  <si>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</si>
  <si>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</si>
  <si>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</si>
  <si>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</si>
  <si>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</si>
  <si>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</si>
  <si>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</si>
  <si>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</si>
  <si>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</si>
  <si>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</si>
  <si>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</si>
  <si>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</si>
  <si>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</si>
  <si>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</si>
  <si>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</si>
  <si>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</si>
  <si>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</si>
  <si>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</si>
  <si>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</si>
  <si>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</si>
  <si>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</si>
  <si>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</si>
  <si>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</si>
  <si>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</si>
  <si>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</si>
  <si>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</si>
  <si>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</si>
  <si>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</si>
  <si>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</si>
  <si>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</si>
  <si>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</si>
  <si>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</si>
  <si>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</si>
  <si>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</si>
  <si>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</si>
  <si>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</si>
  <si>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</si>
  <si>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</si>
  <si>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</si>
  <si>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</si>
  <si>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</si>
  <si>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</si>
  <si>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</si>
  <si>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UniBURST</t>
  </si>
  <si>
    <t>GuccioneCoin</t>
  </si>
  <si>
    <t>Chronos</t>
  </si>
  <si>
    <t>Asiadigicoin</t>
  </si>
  <si>
    <t>Gold Pressed Latinum</t>
  </si>
  <si>
    <t>Vector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</si>
  <si>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</si>
  <si>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</si>
  <si>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</si>
  <si>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</si>
  <si>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</si>
  <si>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</si>
  <si>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</si>
  <si>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</si>
  <si>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</si>
  <si>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</si>
  <si>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</si>
  <si>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Putin Classic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</si>
  <si>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</si>
  <si>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</si>
  <si>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</si>
  <si>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</si>
  <si>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</si>
  <si>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</si>
  <si>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</si>
  <si>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</si>
  <si>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</si>
  <si>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</si>
  <si>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UCoin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</si>
  <si>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</si>
  <si>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</si>
  <si>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</si>
  <si>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</si>
  <si>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</si>
  <si>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</si>
  <si>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</si>
  <si>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</si>
  <si>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</si>
  <si>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</si>
  <si>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</si>
  <si>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</si>
  <si>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BBQCoin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</si>
  <si>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</si>
  <si>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</si>
  <si>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</si>
  <si>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</si>
  <si>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</si>
  <si>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</si>
  <si>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</si>
  <si>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</si>
  <si>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</si>
  <si>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</si>
  <si>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</si>
  <si>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</si>
  <si>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</si>
  <si>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</si>
  <si>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</si>
  <si>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</si>
  <si>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</si>
  <si>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</si>
  <si>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</si>
  <si>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</si>
  <si>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</si>
  <si>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</si>
  <si>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</si>
  <si>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</si>
  <si>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</si>
  <si>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</si>
  <si>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</si>
  <si>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</si>
  <si>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</si>
  <si>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</si>
  <si>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</si>
  <si>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</si>
  <si>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</si>
  <si>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</si>
  <si>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</si>
  <si>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</si>
  <si>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</si>
  <si>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</si>
  <si>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</si>
  <si>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</si>
  <si>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</si>
  <si>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</si>
  <si>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</si>
  <si>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</si>
  <si>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</si>
  <si>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</si>
  <si>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</si>
  <si>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</si>
  <si>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</si>
  <si>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</si>
  <si>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</si>
  <si>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</si>
  <si>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</si>
  <si>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</si>
  <si>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</si>
  <si>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</si>
  <si>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</si>
  <si>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</si>
  <si>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</si>
  <si>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</si>
  <si>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</si>
  <si>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</si>
  <si>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Revenu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</si>
  <si>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</si>
  <si>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</si>
  <si>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</si>
  <si>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</si>
  <si>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</si>
  <si>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</si>
  <si>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</si>
  <si>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</si>
  <si>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</si>
  <si>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</si>
  <si>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</si>
  <si>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MantraCoin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</si>
  <si>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</si>
  <si>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</si>
  <si>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</si>
  <si>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</si>
  <si>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</si>
  <si>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</si>
  <si>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</si>
  <si>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</si>
  <si>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</si>
  <si>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</si>
  <si>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</si>
  <si>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1CRedit</t>
  </si>
  <si>
    <t>BurstOcean</t>
  </si>
  <si>
    <t>Shilling</t>
  </si>
  <si>
    <t>JIO Token</t>
  </si>
  <si>
    <t>P7Coin</t>
  </si>
  <si>
    <t>Environ</t>
  </si>
  <si>
    <t>Abncoin</t>
  </si>
  <si>
    <t>Selfiecoin</t>
  </si>
  <si>
    <t>NodeCoin</t>
  </si>
  <si>
    <t>Enigma</t>
  </si>
  <si>
    <t>Elysium</t>
  </si>
  <si>
    <t>BTCDragon</t>
  </si>
  <si>
    <t>PizzaCoin</t>
  </si>
  <si>
    <t>Ethbits</t>
  </si>
  <si>
    <t>Future Digital Currency</t>
  </si>
  <si>
    <t>SwapToken</t>
  </si>
  <si>
    <t>Powercoin</t>
  </si>
  <si>
    <t>MikeTheMug</t>
  </si>
  <si>
    <t>Digital Credits</t>
  </si>
  <si>
    <t>Digital Money Bits</t>
  </si>
  <si>
    <t>CaliphCoin</t>
  </si>
  <si>
    <t>Xenixcoin</t>
  </si>
  <si>
    <t>Health Care Chain</t>
  </si>
  <si>
    <t>LLToken</t>
  </si>
  <si>
    <t>VeChain</t>
  </si>
  <si>
    <t>UG Token</t>
  </si>
  <si>
    <t>Walton</t>
  </si>
  <si>
    <t>Dochain</t>
  </si>
  <si>
    <t>Fargocoin</t>
  </si>
  <si>
    <t>SIGMAcoin</t>
  </si>
  <si>
    <t>DynamicCoin</t>
  </si>
  <si>
    <t>InfChain</t>
  </si>
  <si>
    <t>BITFID</t>
  </si>
  <si>
    <t>ElectionChain</t>
  </si>
  <si>
    <t>Pura</t>
  </si>
  <si>
    <t>Storjcoin X</t>
  </si>
  <si>
    <t>Lepaoquan</t>
  </si>
  <si>
    <t xml:space="preserve">Sphre AIR </t>
  </si>
  <si>
    <t>Internet of People</t>
  </si>
  <si>
    <t>BagCoin</t>
  </si>
  <si>
    <t>NamoCoin</t>
  </si>
  <si>
    <t>Asset Backed Coin</t>
  </si>
  <si>
    <t>Bitok</t>
  </si>
  <si>
    <t>YOYOW</t>
  </si>
  <si>
    <t>Opus</t>
  </si>
  <si>
    <t>Gycoin</t>
  </si>
  <si>
    <t>Loopring</t>
  </si>
  <si>
    <t>InvestFeed</t>
  </si>
  <si>
    <t>Falcoin</t>
  </si>
  <si>
    <t>EOT Token</t>
  </si>
  <si>
    <t>Centra</t>
  </si>
  <si>
    <t>Po.et</t>
  </si>
  <si>
    <t>Bitcoin Unlimited (Futures)</t>
  </si>
  <si>
    <t>FiboCoins</t>
  </si>
  <si>
    <t>TechShares</t>
  </si>
  <si>
    <t>DeusCoin</t>
  </si>
  <si>
    <t>ClubCoin</t>
  </si>
  <si>
    <t>Digitalfund</t>
  </si>
  <si>
    <t>First Bitcoin Capital</t>
  </si>
  <si>
    <t>HBCoin</t>
  </si>
  <si>
    <t>bitqy</t>
  </si>
  <si>
    <t>Growers International</t>
  </si>
  <si>
    <t>Aureus</t>
  </si>
  <si>
    <t>OX Fina</t>
  </si>
  <si>
    <t>WA Space</t>
  </si>
  <si>
    <t>Alphabit</t>
  </si>
  <si>
    <t>Maker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</si>
  <si>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</si>
  <si>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</si>
  <si>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</si>
  <si>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</si>
  <si>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</si>
  <si>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</si>
  <si>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</si>
  <si>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</si>
  <si>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Goldpay Coin</t>
  </si>
  <si>
    <t>XTD Coin</t>
  </si>
  <si>
    <t>Ergo</t>
  </si>
  <si>
    <t>Mind Gene</t>
  </si>
  <si>
    <t>Pabyosi Coin (Special)</t>
  </si>
  <si>
    <t>TeraCoin</t>
  </si>
  <si>
    <t>Zilbercoin</t>
  </si>
  <si>
    <t>FedoraShare</t>
  </si>
  <si>
    <t>AmsterdamCoin</t>
  </si>
  <si>
    <t>AlpaCoin</t>
  </si>
  <si>
    <t>BRAT</t>
  </si>
  <si>
    <t>Smoke</t>
  </si>
  <si>
    <t>AxFunds</t>
  </si>
  <si>
    <t>MonacoCoin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</si>
  <si>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</si>
  <si>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</si>
  <si>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</si>
  <si>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</si>
  <si>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</si>
  <si>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</si>
  <si>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</si>
  <si>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</si>
  <si>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</si>
  <si>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Nexxus</t>
  </si>
  <si>
    <t>PeopleCoin</t>
  </si>
  <si>
    <t>Animecoin</t>
  </si>
  <si>
    <t>Fazzcoin</t>
  </si>
  <si>
    <t>ATMCoin</t>
  </si>
  <si>
    <t>Internet of Things</t>
  </si>
  <si>
    <t>Paccoin</t>
  </si>
  <si>
    <t>Fuda Energy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</si>
  <si>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</si>
  <si>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</si>
  <si>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</si>
  <si>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</si>
  <si>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</si>
  <si>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</si>
  <si>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</si>
  <si>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</si>
  <si>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</si>
  <si>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</si>
  <si>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</si>
  <si>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</si>
  <si>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</si>
  <si>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</si>
  <si>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</si>
  <si>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</si>
  <si>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Yogold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</si>
  <si>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</si>
  <si>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</si>
  <si>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</si>
  <si>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</si>
  <si>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</si>
  <si>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</si>
  <si>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</si>
  <si>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</si>
  <si>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</si>
  <si>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</si>
  <si>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</si>
  <si>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</si>
  <si>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</si>
  <si>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</si>
  <si>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</si>
  <si>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Excelcoin</t>
  </si>
  <si>
    <t>Voyacoin</t>
  </si>
  <si>
    <t>Opal</t>
  </si>
  <si>
    <t>TopCoin</t>
  </si>
  <si>
    <t>KashhCoin</t>
  </si>
  <si>
    <t>OCOW</t>
  </si>
  <si>
    <t>EMoneyPower</t>
  </si>
  <si>
    <t>Sharkcoin</t>
  </si>
  <si>
    <t>GoldUnionCoin</t>
  </si>
  <si>
    <t>Primulon</t>
  </si>
  <si>
    <t>PrismChain</t>
  </si>
  <si>
    <t>AMIS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</si>
  <si>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</si>
  <si>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</si>
  <si>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</si>
  <si>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</si>
  <si>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</si>
  <si>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</si>
  <si>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</si>
  <si>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Neptune Classic</t>
  </si>
  <si>
    <t>Wowecoin</t>
  </si>
  <si>
    <t>TheCreed</t>
  </si>
  <si>
    <t>Tattoocoin (Limited Edition)</t>
  </si>
  <si>
    <t>FutCoin</t>
  </si>
  <si>
    <t>Avoncoin</t>
  </si>
  <si>
    <t>Wowcoin</t>
  </si>
  <si>
    <t>Elacoin</t>
  </si>
  <si>
    <t>Quartz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</si>
  <si>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</si>
  <si>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</si>
  <si>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</si>
  <si>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</si>
  <si>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</si>
  <si>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</si>
  <si>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</si>
  <si>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</si>
  <si>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</si>
  <si>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</si>
  <si>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</si>
  <si>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</si>
  <si>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</si>
  <si>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</si>
  <si>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</si>
  <si>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</si>
  <si>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</si>
  <si>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</si>
  <si>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</si>
  <si>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</si>
  <si>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</si>
  <si>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</si>
  <si>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</si>
  <si>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</si>
  <si>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</si>
  <si>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Victoriouscoin</t>
  </si>
  <si>
    <t>BTCGold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</si>
  <si>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</si>
  <si>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</si>
  <si>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</si>
  <si>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</si>
  <si>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</si>
  <si>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</si>
  <si>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</si>
  <si>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</si>
  <si>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</si>
  <si>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</si>
  <si>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</si>
  <si>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</si>
  <si>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</si>
  <si>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</si>
  <si>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</si>
  <si>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</si>
  <si>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</si>
  <si>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</si>
  <si>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</si>
  <si>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</si>
  <si>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MIYUCoin</t>
  </si>
  <si>
    <t>UNCoin</t>
  </si>
  <si>
    <t>Rcoin</t>
  </si>
  <si>
    <t>GoldMaxCoin</t>
  </si>
  <si>
    <t>Karmacoin</t>
  </si>
  <si>
    <t>Topaz Coin</t>
  </si>
  <si>
    <t>Tyrocoin</t>
  </si>
  <si>
    <t>Quebecoin</t>
  </si>
  <si>
    <t>microCoin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</si>
  <si>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</si>
  <si>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</si>
  <si>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</si>
  <si>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</si>
  <si>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</si>
  <si>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</si>
  <si>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</si>
  <si>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</si>
  <si>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</si>
  <si>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RoyalCoin 2</t>
  </si>
  <si>
    <t>KolschCoin</t>
  </si>
  <si>
    <t>X2</t>
  </si>
  <si>
    <t>TurboCoin</t>
  </si>
  <si>
    <t>MMXVI</t>
  </si>
  <si>
    <t>Sync</t>
  </si>
  <si>
    <t>SoulCoin</t>
  </si>
  <si>
    <t>PinkDog</t>
  </si>
  <si>
    <t>DeltaCredits</t>
  </si>
  <si>
    <t>Etherx</t>
  </si>
  <si>
    <t>TeamUp</t>
  </si>
  <si>
    <t>President Sanders</t>
  </si>
  <si>
    <t>Regacoin</t>
  </si>
  <si>
    <t>Mavro</t>
  </si>
  <si>
    <t>TrickyCoin</t>
  </si>
  <si>
    <t>Huncoin</t>
  </si>
  <si>
    <t>Xaucoin</t>
  </si>
  <si>
    <t>InvisibleCoin</t>
  </si>
  <si>
    <t>SuperTurboStake</t>
  </si>
  <si>
    <t>ZenGold</t>
  </si>
  <si>
    <t>Gambleo</t>
  </si>
  <si>
    <t>XDE II</t>
  </si>
  <si>
    <t>UniversalRoyalCoin</t>
  </si>
  <si>
    <t>Safe Trade Coin</t>
  </si>
  <si>
    <t>SafeCoin</t>
  </si>
  <si>
    <t>PiCoin</t>
  </si>
  <si>
    <t>AsicCoin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</si>
  <si>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</si>
  <si>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</si>
  <si>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</si>
  <si>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</si>
  <si>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</si>
  <si>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</si>
  <si>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</si>
  <si>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</si>
  <si>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</si>
  <si>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</si>
  <si>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</si>
  <si>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</si>
  <si>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</si>
  <si>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</si>
  <si>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</si>
  <si>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</si>
  <si>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</si>
  <si>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</si>
  <si>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</si>
  <si>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</si>
  <si>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</si>
  <si>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</si>
  <si>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</si>
  <si>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</si>
  <si>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</si>
  <si>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</si>
  <si>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</si>
  <si>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</si>
  <si>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</si>
  <si>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</si>
  <si>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</si>
  <si>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</si>
  <si>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</si>
  <si>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</si>
  <si>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</si>
  <si>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</si>
  <si>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</si>
  <si>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</si>
  <si>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</si>
  <si>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</si>
  <si>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</si>
  <si>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</si>
  <si>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</si>
  <si>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</si>
  <si>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</si>
  <si>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</si>
  <si>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</si>
  <si>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</si>
  <si>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</si>
  <si>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</si>
  <si>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</si>
  <si>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</si>
  <si>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</si>
  <si>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</si>
  <si>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</si>
  <si>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</si>
  <si>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</si>
  <si>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</si>
  <si>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</si>
  <si>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</si>
  <si>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</si>
  <si>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</si>
  <si>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</si>
  <si>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</si>
  <si>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</si>
  <si>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NLC2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</si>
  <si>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</si>
  <si>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</si>
  <si>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</si>
  <si>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</si>
  <si>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</si>
  <si>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</si>
  <si>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</si>
  <si>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</si>
  <si>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</si>
  <si>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</si>
  <si>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</si>
  <si>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</si>
  <si>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</si>
  <si>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EDG</t>
  </si>
  <si>
    <t>DCT</t>
  </si>
  <si>
    <t>DNT</t>
  </si>
  <si>
    <t>BQX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</si>
  <si>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</si>
  <si>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</si>
  <si>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</si>
  <si>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</si>
  <si>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</si>
  <si>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</si>
  <si>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</si>
  <si>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</si>
  <si>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</si>
  <si>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</si>
  <si>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</si>
  <si>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</si>
  <si>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</si>
  <si>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</si>
  <si>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</si>
  <si>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</si>
  <si>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IOC</t>
  </si>
  <si>
    <t>NMR</t>
  </si>
  <si>
    <t>STX</t>
  </si>
  <si>
    <t>VIA</t>
  </si>
  <si>
    <t>XZC</t>
  </si>
  <si>
    <t>QRL</t>
  </si>
  <si>
    <t>XCP</t>
  </si>
  <si>
    <t>ROUND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</si>
  <si>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</si>
  <si>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</si>
  <si>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</si>
  <si>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</si>
  <si>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</si>
  <si>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</si>
  <si>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</si>
  <si>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</si>
  <si>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</si>
  <si>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</si>
  <si>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</si>
  <si>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</si>
  <si>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</si>
  <si>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</si>
  <si>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</si>
  <si>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</si>
  <si>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</si>
  <si>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</si>
  <si>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</si>
  <si>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</si>
  <si>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</si>
  <si>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</si>
  <si>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</si>
  <si>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</si>
  <si>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</si>
  <si>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</si>
  <si>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</si>
  <si>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</si>
  <si>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</si>
  <si>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</si>
  <si>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</si>
  <si>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</si>
  <si>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EB3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</si>
  <si>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</si>
  <si>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</si>
  <si>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</si>
  <si>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</si>
  <si>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</si>
  <si>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</si>
  <si>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</si>
  <si>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</si>
  <si>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</si>
  <si>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</si>
  <si>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</si>
  <si>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</si>
  <si>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</si>
  <si>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</si>
  <si>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</si>
  <si>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</si>
  <si>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</si>
  <si>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</si>
  <si>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</si>
  <si>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</si>
  <si>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</si>
  <si>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</si>
  <si>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</si>
  <si>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</si>
  <si>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</si>
  <si>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YBC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</si>
  <si>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</si>
  <si>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</si>
  <si>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</si>
  <si>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</si>
  <si>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</si>
  <si>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</si>
  <si>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</si>
  <si>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</si>
  <si>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</si>
  <si>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</si>
  <si>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</si>
  <si>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</si>
  <si>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</si>
  <si>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</si>
  <si>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</si>
  <si>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</si>
  <si>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GRS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</si>
  <si>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</si>
  <si>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</si>
  <si>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</si>
  <si>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</si>
  <si>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</si>
  <si>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</si>
  <si>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</si>
  <si>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</si>
  <si>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</si>
  <si>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</si>
  <si>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</si>
  <si>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</si>
  <si>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</si>
  <si>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</si>
  <si>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</si>
  <si>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</si>
  <si>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</si>
  <si>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</si>
  <si>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</si>
  <si>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</si>
  <si>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</si>
  <si>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</si>
  <si>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</si>
  <si>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</si>
  <si>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</si>
  <si>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</si>
  <si>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</si>
  <si>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</si>
  <si>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</si>
  <si>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</si>
  <si>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</si>
  <si>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</si>
  <si>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</si>
  <si>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</si>
  <si>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</si>
  <si>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CADASTRAL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</si>
  <si>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</si>
  <si>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</si>
  <si>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</si>
  <si>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</si>
  <si>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</si>
  <si>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</si>
  <si>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</si>
  <si>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</si>
  <si>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</si>
  <si>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</si>
  <si>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</si>
  <si>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</si>
  <si>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</si>
  <si>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</si>
  <si>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</si>
  <si>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</si>
  <si>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</si>
  <si>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</si>
  <si>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</si>
  <si>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</si>
  <si>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</si>
  <si>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</si>
  <si>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</si>
  <si>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</si>
  <si>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</si>
  <si>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</si>
  <si>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</si>
  <si>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</si>
  <si>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</si>
  <si>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</si>
  <si>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</si>
  <si>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</si>
  <si>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</si>
  <si>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</si>
  <si>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</si>
  <si>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</si>
  <si>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</si>
  <si>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</si>
  <si>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</si>
  <si>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</si>
  <si>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</si>
  <si>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</si>
  <si>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</si>
  <si>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</si>
  <si>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</si>
  <si>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</si>
  <si>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</si>
  <si>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</si>
  <si>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</si>
  <si>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</si>
  <si>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</si>
  <si>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</si>
  <si>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</si>
  <si>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ATCC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</si>
  <si>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</si>
  <si>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</si>
  <si>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</si>
  <si>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</si>
  <si>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</si>
  <si>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</si>
  <si>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</si>
  <si>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</si>
  <si>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</si>
  <si>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</si>
  <si>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NAUT</t>
  </si>
  <si>
    <t>AC</t>
  </si>
  <si>
    <t>ZCC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</si>
  <si>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</si>
  <si>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</si>
  <si>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</si>
  <si>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</si>
  <si>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</si>
  <si>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</si>
  <si>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</si>
  <si>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</si>
  <si>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</si>
  <si>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</si>
  <si>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</si>
  <si>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</si>
  <si>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</si>
  <si>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</si>
  <si>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</si>
  <si>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VSM</t>
  </si>
  <si>
    <t>DCN</t>
  </si>
  <si>
    <t>BTA</t>
  </si>
  <si>
    <t>KRS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</si>
  <si>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</si>
  <si>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</si>
  <si>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</si>
  <si>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</si>
  <si>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</si>
  <si>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</si>
  <si>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</si>
  <si>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</si>
  <si>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</si>
  <si>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</si>
  <si>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</si>
  <si>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</si>
  <si>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</si>
  <si>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</si>
  <si>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</si>
  <si>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</si>
  <si>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</si>
  <si>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</si>
  <si>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COE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</si>
  <si>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</si>
  <si>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</si>
  <si>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</si>
  <si>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</si>
  <si>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</si>
  <si>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</si>
  <si>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</si>
  <si>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</si>
  <si>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</si>
  <si>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</si>
  <si>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</si>
  <si>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</si>
  <si>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</si>
  <si>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</si>
  <si>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</si>
  <si>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</si>
  <si>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</si>
  <si>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</si>
  <si>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</si>
  <si>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</si>
  <si>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</si>
  <si>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</si>
  <si>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</si>
  <si>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</si>
  <si>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</si>
  <si>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</si>
  <si>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</si>
  <si>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</si>
  <si>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</si>
  <si>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</si>
  <si>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</si>
  <si>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</si>
  <si>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</si>
  <si>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</si>
  <si>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</si>
  <si>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</si>
  <si>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</si>
  <si>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DRACO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</si>
  <si>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</si>
  <si>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</si>
  <si>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</si>
  <si>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</si>
  <si>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</si>
  <si>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</si>
  <si>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</si>
  <si>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</si>
  <si>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</si>
  <si>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</si>
  <si>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</si>
  <si>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</si>
  <si>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</si>
  <si>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</si>
  <si>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</si>
  <si>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</si>
  <si>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</si>
  <si>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</si>
  <si>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</si>
  <si>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</si>
  <si>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</si>
  <si>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</si>
  <si>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</si>
  <si>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</si>
  <si>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</si>
  <si>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</si>
  <si>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XTC</t>
  </si>
  <si>
    <t>RBX</t>
  </si>
  <si>
    <t>PROC</t>
  </si>
  <si>
    <t>LINX</t>
  </si>
  <si>
    <t>OTX</t>
  </si>
  <si>
    <t>HERO</t>
  </si>
  <si>
    <t>NOBL</t>
  </si>
  <si>
    <t>UNIFY</t>
  </si>
  <si>
    <t>WGO</t>
  </si>
  <si>
    <t>UNB</t>
  </si>
  <si>
    <t>HKG</t>
  </si>
  <si>
    <t>DVC</t>
  </si>
  <si>
    <t>XVP</t>
  </si>
  <si>
    <t>ICE</t>
  </si>
  <si>
    <t>DCY</t>
  </si>
  <si>
    <t>XVS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</si>
  <si>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</si>
  <si>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</si>
  <si>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</si>
  <si>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</si>
  <si>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</si>
  <si>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</si>
  <si>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</si>
  <si>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</si>
  <si>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</si>
  <si>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</si>
  <si>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</si>
  <si>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</si>
  <si>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</si>
  <si>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</si>
  <si>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</si>
  <si>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</si>
  <si>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</si>
  <si>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</si>
  <si>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</si>
  <si>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</si>
  <si>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</si>
  <si>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</si>
  <si>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</si>
  <si>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</si>
  <si>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</si>
  <si>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</si>
  <si>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</si>
  <si>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</si>
  <si>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</si>
  <si>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</si>
  <si>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</si>
  <si>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</si>
  <si>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</si>
  <si>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</si>
  <si>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</si>
  <si>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</si>
  <si>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</si>
  <si>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</si>
  <si>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</si>
  <si>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</si>
  <si>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</si>
  <si>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</si>
  <si>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</si>
  <si>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</si>
  <si>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</si>
  <si>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</si>
  <si>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</si>
  <si>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</si>
  <si>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</si>
  <si>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</si>
  <si>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</si>
  <si>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</si>
  <si>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</si>
  <si>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</si>
  <si>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</si>
  <si>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</si>
  <si>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</si>
  <si>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</si>
  <si>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</si>
  <si>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</si>
  <si>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</si>
  <si>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</si>
  <si>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</si>
  <si>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</si>
  <si>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</si>
  <si>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</si>
  <si>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</si>
  <si>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</si>
  <si>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</si>
  <si>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</si>
  <si>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</si>
  <si>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</si>
  <si>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</si>
  <si>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</si>
  <si>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</si>
  <si>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</si>
  <si>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</si>
  <si>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</si>
  <si>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</si>
  <si>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</si>
  <si>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</si>
  <si>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</si>
  <si>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</si>
  <si>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</si>
  <si>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</si>
  <si>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</si>
  <si>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</si>
  <si>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MI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</si>
  <si>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</si>
  <si>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</si>
  <si>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</si>
  <si>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</si>
  <si>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</si>
  <si>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</si>
  <si>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</si>
  <si>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</si>
  <si>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</si>
  <si>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</si>
  <si>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</si>
  <si>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</si>
  <si>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</si>
  <si>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</si>
  <si>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</si>
  <si>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</si>
  <si>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</si>
  <si>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</si>
  <si>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</si>
  <si>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</si>
  <si>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</si>
  <si>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WEX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</si>
  <si>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</si>
  <si>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</si>
  <si>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</si>
  <si>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</si>
  <si>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</si>
  <si>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</si>
  <si>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</si>
  <si>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</si>
  <si>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</si>
  <si>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</si>
  <si>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</si>
  <si>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STCN</t>
  </si>
  <si>
    <t>PANGEA</t>
  </si>
  <si>
    <t>YASH</t>
  </si>
  <si>
    <t>CARBON</t>
  </si>
  <si>
    <t>GRE</t>
  </si>
  <si>
    <t>LTBC</t>
  </si>
  <si>
    <t>MALC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</si>
  <si>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</si>
  <si>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</si>
  <si>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</si>
  <si>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</si>
  <si>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</si>
  <si>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</si>
  <si>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</si>
  <si>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</si>
  <si>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</si>
  <si>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</si>
  <si>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</si>
  <si>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</si>
  <si>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</si>
  <si>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</si>
  <si>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</si>
  <si>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</si>
  <si>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</si>
  <si>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RAREPEPEP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</si>
  <si>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</si>
  <si>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</si>
  <si>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</si>
  <si>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</si>
  <si>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</si>
  <si>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</si>
  <si>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</si>
  <si>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</si>
  <si>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</si>
  <si>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</si>
  <si>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</si>
  <si>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</si>
  <si>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</si>
  <si>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</si>
  <si>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</si>
  <si>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</si>
  <si>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</si>
  <si>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</si>
  <si>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</si>
  <si>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SLM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</si>
  <si>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</si>
  <si>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</si>
  <si>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</si>
  <si>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</si>
  <si>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</si>
  <si>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</si>
  <si>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</si>
  <si>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</si>
  <si>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</si>
  <si>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</si>
  <si>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</si>
  <si>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CAP</t>
  </si>
  <si>
    <t>PSB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</si>
  <si>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</si>
  <si>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</si>
  <si>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</si>
  <si>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</si>
  <si>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</si>
  <si>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</si>
  <si>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</si>
  <si>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</si>
  <si>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</si>
  <si>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</si>
  <si>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</si>
  <si>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OHM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</si>
  <si>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</si>
  <si>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</si>
  <si>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</si>
  <si>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</si>
  <si>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</si>
  <si>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</si>
  <si>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</si>
  <si>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</si>
  <si>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</si>
  <si>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</si>
  <si>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</si>
  <si>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</si>
  <si>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</si>
  <si>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</si>
  <si>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</si>
  <si>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</si>
  <si>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</si>
  <si>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</si>
  <si>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</si>
  <si>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</si>
  <si>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</si>
  <si>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</si>
  <si>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</si>
  <si>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</si>
  <si>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</si>
  <si>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</si>
  <si>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</si>
  <si>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</si>
  <si>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</si>
  <si>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</si>
  <si>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</si>
  <si>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</si>
  <si>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</si>
  <si>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</si>
  <si>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</si>
  <si>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</si>
  <si>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</si>
  <si>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</si>
  <si>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</si>
  <si>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</si>
  <si>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</si>
  <si>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</si>
  <si>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</si>
  <si>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</si>
  <si>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</si>
  <si>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</si>
  <si>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</si>
  <si>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</si>
  <si>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</si>
  <si>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</si>
  <si>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</si>
  <si>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</si>
  <si>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</si>
  <si>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</si>
  <si>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</si>
  <si>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</si>
  <si>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</si>
  <si>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</si>
  <si>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</si>
  <si>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</si>
  <si>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</si>
  <si>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</si>
  <si>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</si>
  <si>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</si>
  <si>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</si>
  <si>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</si>
  <si>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UNIBURST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</si>
  <si>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</si>
  <si>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</si>
  <si>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</si>
  <si>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</si>
  <si>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</si>
  <si>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</si>
  <si>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</si>
  <si>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</si>
  <si>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</si>
  <si>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</si>
  <si>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</si>
  <si>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</si>
  <si>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</si>
  <si>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</si>
  <si>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</si>
  <si>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PUTIC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</si>
  <si>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</si>
  <si>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</si>
  <si>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</si>
  <si>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</si>
  <si>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</si>
  <si>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</si>
  <si>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</si>
  <si>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</si>
  <si>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</si>
  <si>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U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</si>
  <si>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</si>
  <si>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</si>
  <si>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</si>
  <si>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</si>
  <si>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</si>
  <si>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</si>
  <si>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</si>
  <si>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</si>
  <si>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</si>
  <si>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</si>
  <si>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</si>
  <si>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BQC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</si>
  <si>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</si>
  <si>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</si>
  <si>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</si>
  <si>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</si>
  <si>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</si>
  <si>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</si>
  <si>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</si>
  <si>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</si>
  <si>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</si>
  <si>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</si>
  <si>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</si>
  <si>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</si>
  <si>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</si>
  <si>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</si>
  <si>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</si>
  <si>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</si>
  <si>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</si>
  <si>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</si>
  <si>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</si>
  <si>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</si>
  <si>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</si>
  <si>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</si>
  <si>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</si>
  <si>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</si>
  <si>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</si>
  <si>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</si>
  <si>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</si>
  <si>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</si>
  <si>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</si>
  <si>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</si>
  <si>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</si>
  <si>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</si>
  <si>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</si>
  <si>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</si>
  <si>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</si>
  <si>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</si>
  <si>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</si>
  <si>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</si>
  <si>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</si>
  <si>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</si>
  <si>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</si>
  <si>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</si>
  <si>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</si>
  <si>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</si>
  <si>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</si>
  <si>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</si>
  <si>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</si>
  <si>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</si>
  <si>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</si>
  <si>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</si>
  <si>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</si>
  <si>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</si>
  <si>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</si>
  <si>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</si>
  <si>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</si>
  <si>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</si>
  <si>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</si>
  <si>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</si>
  <si>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REV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</si>
  <si>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</si>
  <si>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</si>
  <si>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</si>
  <si>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</si>
  <si>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</si>
  <si>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</si>
  <si>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</si>
  <si>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</si>
  <si>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</si>
  <si>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</si>
  <si>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</si>
  <si>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</si>
  <si>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</si>
  <si>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</si>
  <si>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</si>
  <si>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</si>
  <si>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</si>
  <si>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</si>
  <si>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</si>
  <si>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</si>
  <si>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</si>
  <si>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</si>
  <si>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</si>
  <si>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1CR</t>
  </si>
  <si>
    <t>OCEAN</t>
  </si>
  <si>
    <t>SH</t>
  </si>
  <si>
    <t>JIO</t>
  </si>
  <si>
    <t>P7C</t>
  </si>
  <si>
    <t>ENV</t>
  </si>
  <si>
    <t>ABN</t>
  </si>
  <si>
    <t>SLFI</t>
  </si>
  <si>
    <t>NODC</t>
  </si>
  <si>
    <t>XNG</t>
  </si>
  <si>
    <t>ELS</t>
  </si>
  <si>
    <t>DRAGON</t>
  </si>
  <si>
    <t>PIZZA</t>
  </si>
  <si>
    <t>FDC</t>
  </si>
  <si>
    <t>TOKEN</t>
  </si>
  <si>
    <t>PWR</t>
  </si>
  <si>
    <t>MUG</t>
  </si>
  <si>
    <t>DGCS</t>
  </si>
  <si>
    <t>DMB</t>
  </si>
  <si>
    <t>CALC</t>
  </si>
  <si>
    <t>XEN</t>
  </si>
  <si>
    <t>HCC</t>
  </si>
  <si>
    <t>LLT</t>
  </si>
  <si>
    <t>VEN</t>
  </si>
  <si>
    <t>UGT</t>
  </si>
  <si>
    <t>WTC</t>
  </si>
  <si>
    <t>DOC</t>
  </si>
  <si>
    <t>FRGC</t>
  </si>
  <si>
    <t>SIGMA</t>
  </si>
  <si>
    <t>DMC</t>
  </si>
  <si>
    <t>INF</t>
  </si>
  <si>
    <t>FID</t>
  </si>
  <si>
    <t>ELC</t>
  </si>
  <si>
    <t>PURA</t>
  </si>
  <si>
    <t>SJCX</t>
  </si>
  <si>
    <t>HLB</t>
  </si>
  <si>
    <t>XID</t>
  </si>
  <si>
    <t>IOP</t>
  </si>
  <si>
    <t>BGC</t>
  </si>
  <si>
    <t>NAMO</t>
  </si>
  <si>
    <t>ABC</t>
  </si>
  <si>
    <t>BITOK</t>
  </si>
  <si>
    <t>OPT</t>
  </si>
  <si>
    <t>GYC</t>
  </si>
  <si>
    <t>LRC</t>
  </si>
  <si>
    <t>IFT</t>
  </si>
  <si>
    <t>FAL</t>
  </si>
  <si>
    <t>EOT</t>
  </si>
  <si>
    <t>CTR</t>
  </si>
  <si>
    <t>POE</t>
  </si>
  <si>
    <t>AE</t>
  </si>
  <si>
    <t>BTU</t>
  </si>
  <si>
    <t>FBC</t>
  </si>
  <si>
    <t>THS</t>
  </si>
  <si>
    <t>DEUS</t>
  </si>
  <si>
    <t>CLUB</t>
  </si>
  <si>
    <t>DTF</t>
  </si>
  <si>
    <t>BITCF</t>
  </si>
  <si>
    <t>HBC</t>
  </si>
  <si>
    <t>BQ</t>
  </si>
  <si>
    <t>GRWI</t>
  </si>
  <si>
    <t>AURS</t>
  </si>
  <si>
    <t>OX</t>
  </si>
  <si>
    <t>WA</t>
  </si>
  <si>
    <t>MKR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</si>
  <si>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</si>
  <si>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</si>
  <si>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</si>
  <si>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</si>
  <si>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</si>
  <si>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</si>
  <si>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</si>
  <si>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</si>
  <si>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</si>
  <si>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</si>
  <si>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MG</t>
  </si>
  <si>
    <t>PCS</t>
  </si>
  <si>
    <t>TERA</t>
  </si>
  <si>
    <t>ZBC</t>
  </si>
  <si>
    <t>FEDS</t>
  </si>
  <si>
    <t>AMS</t>
  </si>
  <si>
    <t>APC</t>
  </si>
  <si>
    <t>SMOKE</t>
  </si>
  <si>
    <t>AXF</t>
  </si>
  <si>
    <t>XMCC</t>
  </si>
  <si>
    <t>GARY</t>
  </si>
  <si>
    <t>SKR</t>
  </si>
  <si>
    <t>ACC</t>
  </si>
  <si>
    <t>TCOIN</t>
  </si>
  <si>
    <t>WOMEN</t>
  </si>
  <si>
    <t>PRES</t>
  </si>
  <si>
    <t>MONETA</t>
  </si>
  <si>
    <t>NXX</t>
  </si>
  <si>
    <t>MEN</t>
  </si>
  <si>
    <t>ANI</t>
  </si>
  <si>
    <t>FAZZ</t>
  </si>
  <si>
    <t>ATMC</t>
  </si>
  <si>
    <t>XOT</t>
  </si>
  <si>
    <t>PAC</t>
  </si>
  <si>
    <t>FEI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</si>
  <si>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</si>
  <si>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</si>
  <si>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</si>
  <si>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</si>
  <si>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</si>
  <si>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</si>
  <si>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</si>
  <si>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</si>
  <si>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</si>
  <si>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</si>
  <si>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</si>
  <si>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</si>
  <si>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YOG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</si>
  <si>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</si>
  <si>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</si>
  <si>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</si>
  <si>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</si>
  <si>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</si>
  <si>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</si>
  <si>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</si>
  <si>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</si>
  <si>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</si>
  <si>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</si>
  <si>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</si>
  <si>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</si>
  <si>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</si>
  <si>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</si>
  <si>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</si>
  <si>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EXL</t>
  </si>
  <si>
    <t>VOYA</t>
  </si>
  <si>
    <t>OPAL</t>
  </si>
  <si>
    <t>TOP</t>
  </si>
  <si>
    <t>KASHH</t>
  </si>
  <si>
    <t>EMP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</si>
  <si>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</si>
  <si>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</si>
  <si>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</si>
  <si>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</si>
  <si>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</si>
  <si>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</si>
  <si>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</si>
  <si>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</si>
  <si>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</si>
  <si>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</si>
  <si>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</si>
  <si>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</si>
  <si>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NTCC</t>
  </si>
  <si>
    <t>WEC</t>
  </si>
  <si>
    <t>TCR</t>
  </si>
  <si>
    <t>TLE</t>
  </si>
  <si>
    <t>FUTC</t>
  </si>
  <si>
    <t>ACN</t>
  </si>
  <si>
    <t>WOW</t>
  </si>
  <si>
    <t>QRZ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</si>
  <si>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</si>
  <si>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</si>
  <si>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</si>
  <si>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</si>
  <si>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</si>
  <si>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</si>
  <si>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</si>
  <si>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</si>
  <si>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</si>
  <si>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</si>
  <si>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</si>
  <si>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</si>
  <si>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</si>
  <si>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</si>
  <si>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</si>
  <si>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</si>
  <si>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</si>
  <si>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</si>
  <si>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</si>
  <si>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</si>
  <si>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</si>
  <si>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</si>
  <si>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</si>
  <si>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</si>
  <si>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VTY</t>
  </si>
  <si>
    <t>XBG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</si>
  <si>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</si>
  <si>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</si>
  <si>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</si>
  <si>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</si>
  <si>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</si>
  <si>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</si>
  <si>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</si>
  <si>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</si>
  <si>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</si>
  <si>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</si>
  <si>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</si>
  <si>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</si>
  <si>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</si>
  <si>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</si>
  <si>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</si>
  <si>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</si>
  <si>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</si>
  <si>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</si>
  <si>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</si>
  <si>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MIU</t>
  </si>
  <si>
    <t>UNC</t>
  </si>
  <si>
    <t>RCN</t>
  </si>
  <si>
    <t>GMX</t>
  </si>
  <si>
    <t>KARMA</t>
  </si>
  <si>
    <t>TOPAZ</t>
  </si>
  <si>
    <t>TYC</t>
  </si>
  <si>
    <t>QBC</t>
  </si>
  <si>
    <t>MRC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</si>
  <si>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</si>
  <si>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</si>
  <si>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</si>
  <si>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</si>
  <si>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</si>
  <si>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</si>
  <si>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</si>
  <si>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</si>
  <si>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</si>
  <si>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RYCN</t>
  </si>
  <si>
    <t>TP1</t>
  </si>
  <si>
    <t>TURBO</t>
  </si>
  <si>
    <t>SYNC</t>
  </si>
  <si>
    <t>SOUL</t>
  </si>
  <si>
    <t>PDG</t>
  </si>
  <si>
    <t>DCRE</t>
  </si>
  <si>
    <t>ETX</t>
  </si>
  <si>
    <t>TEAM</t>
  </si>
  <si>
    <t>BURN</t>
  </si>
  <si>
    <t>REGA</t>
  </si>
  <si>
    <t>MAVRO</t>
  </si>
  <si>
    <t>TRICK</t>
  </si>
  <si>
    <t>XAU</t>
  </si>
  <si>
    <t>IVZ</t>
  </si>
  <si>
    <t>STRB</t>
  </si>
  <si>
    <t>ZENGOLD</t>
  </si>
  <si>
    <t>GMB</t>
  </si>
  <si>
    <t>XDE2</t>
  </si>
  <si>
    <t>UNRC</t>
  </si>
  <si>
    <t>XSTC</t>
  </si>
  <si>
    <t>SFE</t>
  </si>
  <si>
    <t>PI</t>
  </si>
  <si>
    <t>ASC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</si>
  <si>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</si>
  <si>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</si>
  <si>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</si>
  <si>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</si>
  <si>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</si>
  <si>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</si>
  <si>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</si>
  <si>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</si>
  <si>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</si>
  <si>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</si>
  <si>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</si>
  <si>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</si>
  <si>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</si>
  <si>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</si>
  <si>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</si>
  <si>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</si>
  <si>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</si>
  <si>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</si>
  <si>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</si>
  <si>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</si>
  <si>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</si>
  <si>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</si>
  <si>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</si>
  <si>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</si>
  <si>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</si>
  <si>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</si>
  <si>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</si>
  <si>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</si>
  <si>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</si>
  <si>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</si>
  <si>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</si>
  <si>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</si>
  <si>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</si>
  <si>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</si>
  <si>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</si>
  <si>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</si>
  <si>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</si>
  <si>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</si>
  <si>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</si>
  <si>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</si>
  <si>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</si>
  <si>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</si>
  <si>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</si>
  <si>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</si>
  <si>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</si>
  <si>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</si>
  <si>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</si>
  <si>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</si>
  <si>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</si>
  <si>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</si>
  <si>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</si>
  <si>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</si>
  <si>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</si>
  <si>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</si>
  <si>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</si>
  <si>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</si>
  <si>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</si>
  <si>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</si>
  <si>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</si>
  <si>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</si>
  <si>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</si>
  <si>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</si>
  <si>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</si>
  <si>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</si>
  <si>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</si>
  <si>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</si>
  <si>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</si>
  <si>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</si>
  <si>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</si>
  <si>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</si>
  <si>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</si>
  <si>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</si>
  <si>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</si>
  <si>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</si>
  <si>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</si>
  <si>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</si>
  <si>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</si>
  <si>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</si>
  <si>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</si>
  <si>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</si>
  <si>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</si>
  <si>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nolimitcoin</t>
  </si>
  <si>
    <t>bitquence</t>
  </si>
  <si>
    <t>bitcoindark</t>
  </si>
  <si>
    <t>cofound-it</t>
  </si>
  <si>
    <t>mobilego</t>
  </si>
  <si>
    <t>wings</t>
  </si>
  <si>
    <t>metaverse</t>
  </si>
  <si>
    <t>edgeless</t>
  </si>
  <si>
    <t>verge</t>
  </si>
  <si>
    <t>ico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</si>
  <si>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</si>
  <si>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</si>
  <si>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</si>
  <si>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</si>
  <si>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</si>
  <si>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</si>
  <si>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</si>
  <si>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</si>
  <si>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</si>
  <si>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</si>
  <si>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</si>
  <si>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</si>
  <si>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</si>
  <si>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</si>
  <si>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</si>
  <si>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</si>
  <si>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iocoin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</si>
  <si>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</si>
  <si>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</si>
  <si>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</si>
  <si>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</si>
  <si>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</si>
  <si>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</si>
  <si>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</si>
  <si>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</si>
  <si>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</si>
  <si>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</si>
  <si>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round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</si>
  <si>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</si>
  <si>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</si>
  <si>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</si>
  <si>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</si>
  <si>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</si>
  <si>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</si>
  <si>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</si>
  <si>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</si>
  <si>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</si>
  <si>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</si>
  <si>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</si>
  <si>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</si>
  <si>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</si>
  <si>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</si>
  <si>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</si>
  <si>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</si>
  <si>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</si>
  <si>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</si>
  <si>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</si>
  <si>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</si>
  <si>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</si>
  <si>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</si>
  <si>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</si>
  <si>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</si>
  <si>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</si>
  <si>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</si>
  <si>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</si>
  <si>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</si>
  <si>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</si>
  <si>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</si>
  <si>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</si>
  <si>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</si>
  <si>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</si>
  <si>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eb3-coin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</si>
  <si>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</si>
  <si>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</si>
  <si>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</si>
  <si>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</si>
  <si>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</si>
  <si>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</si>
  <si>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</si>
  <si>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</si>
  <si>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</si>
  <si>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</si>
  <si>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</si>
  <si>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</si>
  <si>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</si>
  <si>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</si>
  <si>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</si>
  <si>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</si>
  <si>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ybcoin</t>
  </si>
  <si>
    <t>sibcoin</t>
  </si>
  <si>
    <t>openanx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</si>
  <si>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</si>
  <si>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</si>
  <si>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</si>
  <si>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</si>
  <si>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</si>
  <si>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</si>
  <si>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</si>
  <si>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</si>
  <si>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</si>
  <si>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</si>
  <si>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</si>
  <si>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</si>
  <si>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</si>
  <si>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</si>
  <si>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</si>
  <si>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</si>
  <si>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</si>
  <si>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</si>
  <si>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</si>
  <si>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</si>
  <si>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</si>
  <si>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</si>
  <si>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</si>
  <si>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</si>
  <si>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</si>
  <si>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</si>
  <si>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</si>
  <si>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</si>
  <si>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</si>
  <si>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</si>
  <si>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</si>
  <si>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</si>
  <si>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</si>
  <si>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groestlcoin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</si>
  <si>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</si>
  <si>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</si>
  <si>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</si>
  <si>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</si>
  <si>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</si>
  <si>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</si>
  <si>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</si>
  <si>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</si>
  <si>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</si>
  <si>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</si>
  <si>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</si>
  <si>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</si>
  <si>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</si>
  <si>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</si>
  <si>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</si>
  <si>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</si>
  <si>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</si>
  <si>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</si>
  <si>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</si>
  <si>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</si>
  <si>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</si>
  <si>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</si>
  <si>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</si>
  <si>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</si>
  <si>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</si>
  <si>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</si>
  <si>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</si>
  <si>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</si>
  <si>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</si>
  <si>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</si>
  <si>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</si>
  <si>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</si>
  <si>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</si>
  <si>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</si>
  <si>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</si>
  <si>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</si>
  <si>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</si>
  <si>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</si>
  <si>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</si>
  <si>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</si>
  <si>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</si>
  <si>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</si>
  <si>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</si>
  <si>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</si>
  <si>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</si>
  <si>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applebyte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</si>
  <si>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</si>
  <si>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</si>
  <si>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</si>
  <si>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</si>
  <si>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</si>
  <si>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</si>
  <si>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</si>
  <si>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</si>
  <si>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</si>
  <si>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</si>
  <si>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</si>
  <si>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</si>
  <si>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</si>
  <si>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</si>
  <si>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</si>
  <si>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</si>
  <si>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</si>
  <si>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</si>
  <si>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</si>
  <si>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</si>
  <si>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</si>
  <si>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</si>
  <si>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</si>
  <si>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</si>
  <si>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</si>
  <si>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bitland</t>
  </si>
  <si>
    <t>dynamic</t>
  </si>
  <si>
    <t>daxxcoin</t>
  </si>
  <si>
    <t>goldcoin</t>
  </si>
  <si>
    <t>megacoin</t>
  </si>
  <si>
    <t>signatum</t>
  </si>
  <si>
    <t>atc-coin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</si>
  <si>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</si>
  <si>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</si>
  <si>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</si>
  <si>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</si>
  <si>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</si>
  <si>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</si>
  <si>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</si>
  <si>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</si>
  <si>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</si>
  <si>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voise</t>
  </si>
  <si>
    <t>breakout-stake</t>
  </si>
  <si>
    <t>minereum</t>
  </si>
  <si>
    <t>condensate</t>
  </si>
  <si>
    <t>bitusd</t>
  </si>
  <si>
    <t>pesetacoin</t>
  </si>
  <si>
    <t>espers</t>
  </si>
  <si>
    <t>nautiluscoin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</si>
  <si>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</si>
  <si>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</si>
  <si>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</si>
  <si>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</si>
  <si>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</si>
  <si>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</si>
  <si>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</si>
  <si>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</si>
  <si>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</si>
  <si>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</si>
  <si>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zccoin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</si>
  <si>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</si>
  <si>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</si>
  <si>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</si>
  <si>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</si>
  <si>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</si>
  <si>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</si>
  <si>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</si>
  <si>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</si>
  <si>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</si>
  <si>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</si>
  <si>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</si>
  <si>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</si>
  <si>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</si>
  <si>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</si>
  <si>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</si>
  <si>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krypstal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</si>
  <si>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</si>
  <si>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</si>
  <si>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</si>
  <si>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</si>
  <si>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</si>
  <si>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</si>
  <si>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</si>
  <si>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</si>
  <si>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</si>
  <si>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</si>
  <si>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</si>
  <si>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</si>
  <si>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coeval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</si>
  <si>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</si>
  <si>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</si>
  <si>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</si>
  <si>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</si>
  <si>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</si>
  <si>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</si>
  <si>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</si>
  <si>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</si>
  <si>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</si>
  <si>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</si>
  <si>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</si>
  <si>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</si>
  <si>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</si>
  <si>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</si>
  <si>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</si>
  <si>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</si>
  <si>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</si>
  <si>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</si>
  <si>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</si>
  <si>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</si>
  <si>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</si>
  <si>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</si>
  <si>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</si>
  <si>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</si>
  <si>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</si>
  <si>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</si>
  <si>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</si>
  <si>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</si>
  <si>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</si>
  <si>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</si>
  <si>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</si>
  <si>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</si>
  <si>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</si>
  <si>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</si>
  <si>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</si>
  <si>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</si>
  <si>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</si>
  <si>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</si>
  <si>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</si>
  <si>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dt-token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</si>
  <si>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</si>
  <si>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</si>
  <si>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</si>
  <si>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</si>
  <si>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</si>
  <si>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</si>
  <si>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</si>
  <si>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</si>
  <si>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</si>
  <si>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</si>
  <si>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</si>
  <si>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tickets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</si>
  <si>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</si>
  <si>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</si>
  <si>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</si>
  <si>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</si>
  <si>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</si>
  <si>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</si>
  <si>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</si>
  <si>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</si>
  <si>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</si>
  <si>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</si>
  <si>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</si>
  <si>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</si>
  <si>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tilecoin</t>
  </si>
  <si>
    <t>octanox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</si>
  <si>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</si>
  <si>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</si>
  <si>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</si>
  <si>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</si>
  <si>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</si>
  <si>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</si>
  <si>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</si>
  <si>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</si>
  <si>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</si>
  <si>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</si>
  <si>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</si>
  <si>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</si>
  <si>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</si>
  <si>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vsync</t>
  </si>
  <si>
    <t>devcoin</t>
  </si>
  <si>
    <t>funcoin</t>
  </si>
  <si>
    <t>canada-ecoin</t>
  </si>
  <si>
    <t>coinonatx</t>
  </si>
  <si>
    <t>virtacoinplus</t>
  </si>
  <si>
    <t>dinastycoin</t>
  </si>
  <si>
    <t>hacker-gold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</si>
  <si>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</si>
  <si>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</si>
  <si>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</si>
  <si>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</si>
  <si>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</si>
  <si>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</si>
  <si>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</si>
  <si>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</si>
  <si>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</si>
  <si>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</si>
  <si>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</si>
  <si>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</si>
  <si>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</si>
  <si>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</si>
  <si>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</si>
  <si>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</si>
  <si>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</si>
  <si>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</si>
  <si>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</si>
  <si>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</si>
  <si>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</si>
  <si>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</si>
  <si>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</si>
  <si>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</si>
  <si>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</si>
  <si>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</si>
  <si>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</si>
  <si>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</si>
  <si>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</si>
  <si>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</si>
  <si>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</si>
  <si>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</si>
  <si>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</si>
  <si>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</si>
  <si>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</si>
  <si>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</si>
  <si>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</si>
  <si>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</si>
  <si>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</si>
  <si>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</si>
  <si>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</si>
  <si>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das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</si>
  <si>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</si>
  <si>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</si>
  <si>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</si>
  <si>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</si>
  <si>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</si>
  <si>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</si>
  <si>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</si>
  <si>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</si>
  <si>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</si>
  <si>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</si>
  <si>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</si>
  <si>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</si>
  <si>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</si>
  <si>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</si>
  <si>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</si>
  <si>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</si>
  <si>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</si>
  <si>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</si>
  <si>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</si>
  <si>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pesobit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</si>
  <si>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</si>
  <si>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</si>
  <si>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</si>
  <si>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</si>
  <si>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</si>
  <si>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</si>
  <si>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</si>
  <si>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</si>
  <si>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</si>
  <si>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</si>
  <si>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</si>
  <si>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</si>
  <si>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</si>
  <si>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</si>
  <si>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</si>
  <si>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</si>
  <si>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</si>
  <si>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</si>
  <si>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</si>
  <si>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</si>
  <si>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</si>
  <si>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</si>
  <si>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</si>
  <si>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</si>
  <si>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</si>
  <si>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</si>
  <si>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</si>
  <si>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</si>
  <si>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</si>
  <si>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</si>
  <si>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</si>
  <si>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</si>
  <si>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</si>
  <si>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xiaomicoin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</si>
  <si>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</si>
  <si>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</si>
  <si>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</si>
  <si>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</si>
  <si>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</si>
  <si>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</si>
  <si>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</si>
  <si>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</si>
  <si>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</si>
  <si>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</si>
  <si>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</si>
  <si>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</si>
  <si>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</si>
  <si>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</si>
  <si>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</si>
  <si>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</si>
  <si>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</si>
  <si>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</si>
  <si>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</si>
  <si>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</si>
  <si>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</si>
  <si>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</si>
  <si>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</si>
  <si>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</si>
  <si>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</si>
  <si>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</si>
  <si>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</si>
  <si>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</si>
  <si>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</si>
  <si>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</si>
  <si>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</si>
  <si>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</si>
  <si>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powercoin</t>
  </si>
  <si>
    <t>bankcoin</t>
  </si>
  <si>
    <t>stakecoin-stcn</t>
  </si>
  <si>
    <t>asiacoin</t>
  </si>
  <si>
    <t>bitpark-coin</t>
  </si>
  <si>
    <t>pangea-poker</t>
  </si>
  <si>
    <t>arcade-token</t>
  </si>
  <si>
    <t>yashcoin</t>
  </si>
  <si>
    <t>martexcoin</t>
  </si>
  <si>
    <t>incakoin</t>
  </si>
  <si>
    <t>ltbcoin</t>
  </si>
  <si>
    <t>metalcoin</t>
  </si>
  <si>
    <t>malcoin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</si>
  <si>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</si>
  <si>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</si>
  <si>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</si>
  <si>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</si>
  <si>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</si>
  <si>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</si>
  <si>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</si>
  <si>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</si>
  <si>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</si>
  <si>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</si>
  <si>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</si>
  <si>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</si>
  <si>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rare-pepe-party</t>
  </si>
  <si>
    <t>btctalkcoin</t>
  </si>
  <si>
    <t>trollcoin</t>
  </si>
  <si>
    <t>russiacoin</t>
  </si>
  <si>
    <t>shorty</t>
  </si>
  <si>
    <t>cagecoin</t>
  </si>
  <si>
    <t>cryptoforecast</t>
  </si>
  <si>
    <t>o2olondoncoin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</si>
  <si>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</si>
  <si>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</si>
  <si>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</si>
  <si>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</si>
  <si>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</si>
  <si>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</si>
  <si>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</si>
  <si>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</si>
  <si>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</si>
  <si>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</si>
  <si>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</si>
  <si>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</si>
  <si>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</si>
  <si>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slimcoin</t>
  </si>
  <si>
    <t>paycoin2</t>
  </si>
  <si>
    <t>qubitcoin</t>
  </si>
  <si>
    <t>joulecoin</t>
  </si>
  <si>
    <t>bitcointx</t>
  </si>
  <si>
    <t>flycoin</t>
  </si>
  <si>
    <t>titcoin</t>
  </si>
  <si>
    <t>fluttercoin</t>
  </si>
  <si>
    <t>mineum</t>
  </si>
  <si>
    <t>reecoin</t>
  </si>
  <si>
    <t>chesscoin</t>
  </si>
  <si>
    <t>bottlecaps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</si>
  <si>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</si>
  <si>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</si>
  <si>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</si>
  <si>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</si>
  <si>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</si>
  <si>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</si>
  <si>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</si>
  <si>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</si>
  <si>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</si>
  <si>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</si>
  <si>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</si>
  <si>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</si>
  <si>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</si>
  <si>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</si>
  <si>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</si>
  <si>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</si>
  <si>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</si>
  <si>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</si>
  <si>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</si>
  <si>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ohm-wallet</t>
  </si>
  <si>
    <t>swing</t>
  </si>
  <si>
    <t>nyancoin</t>
  </si>
  <si>
    <t>blakecoin</t>
  </si>
  <si>
    <t>catcoin</t>
  </si>
  <si>
    <t>kibicoin</t>
  </si>
  <si>
    <t>coin2-1</t>
  </si>
  <si>
    <t>uniburst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</si>
  <si>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</si>
  <si>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</si>
  <si>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</si>
  <si>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</si>
  <si>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</si>
  <si>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</si>
  <si>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</si>
  <si>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</si>
  <si>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</si>
  <si>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</si>
  <si>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</si>
  <si>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</si>
  <si>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</si>
  <si>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</si>
  <si>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</si>
  <si>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</si>
  <si>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</si>
  <si>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</si>
  <si>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</si>
  <si>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</si>
  <si>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</si>
  <si>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</si>
  <si>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</si>
  <si>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</si>
  <si>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</si>
  <si>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</si>
  <si>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</si>
  <si>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</si>
  <si>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</si>
  <si>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</si>
  <si>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</si>
  <si>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</si>
  <si>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</si>
  <si>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</si>
  <si>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</si>
  <si>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</si>
  <si>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</si>
  <si>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</si>
  <si>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</si>
  <si>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</si>
  <si>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</si>
  <si>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</si>
  <si>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</si>
  <si>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</si>
  <si>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</si>
  <si>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</si>
  <si>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</si>
  <si>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</si>
  <si>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</si>
  <si>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</si>
  <si>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</si>
  <si>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</si>
  <si>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</si>
  <si>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</si>
  <si>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</si>
  <si>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</si>
  <si>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</si>
  <si>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</si>
  <si>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</si>
  <si>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</si>
  <si>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</si>
  <si>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</si>
  <si>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</si>
  <si>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</si>
  <si>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</si>
  <si>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</si>
  <si>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</si>
  <si>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</si>
  <si>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</si>
  <si>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</si>
  <si>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</si>
  <si>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</si>
  <si>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putin-classic</t>
  </si>
  <si>
    <t>chronos</t>
  </si>
  <si>
    <t>healthywormcoin</t>
  </si>
  <si>
    <t>nevacoin</t>
  </si>
  <si>
    <t>franko</t>
  </si>
  <si>
    <t>quatloo</t>
  </si>
  <si>
    <t>sixeleven</t>
  </si>
  <si>
    <t>islacoin</t>
  </si>
  <si>
    <t>ucoin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</si>
  <si>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</si>
  <si>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</si>
  <si>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</si>
  <si>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</si>
  <si>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</si>
  <si>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</si>
  <si>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</si>
  <si>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</si>
  <si>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</si>
  <si>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</si>
  <si>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</si>
  <si>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</si>
  <si>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</si>
  <si>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</si>
  <si>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</si>
  <si>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</si>
  <si>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bbqcoin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</si>
  <si>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</si>
  <si>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</si>
  <si>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</si>
  <si>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</si>
  <si>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</si>
  <si>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</si>
  <si>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</si>
  <si>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</si>
  <si>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</si>
  <si>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</si>
  <si>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</si>
  <si>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</si>
  <si>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</si>
  <si>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</si>
  <si>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</si>
  <si>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</si>
  <si>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</si>
  <si>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</si>
  <si>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</si>
  <si>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</si>
  <si>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</si>
  <si>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</si>
  <si>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</si>
  <si>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</si>
  <si>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</si>
  <si>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</si>
  <si>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</si>
  <si>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</si>
  <si>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</si>
  <si>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</si>
  <si>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</si>
  <si>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</si>
  <si>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</si>
  <si>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</si>
  <si>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</si>
  <si>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</si>
  <si>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</si>
  <si>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</si>
  <si>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</si>
  <si>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</si>
  <si>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</si>
  <si>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</si>
  <si>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</si>
  <si>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</si>
  <si>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</si>
  <si>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</si>
  <si>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</si>
  <si>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</si>
  <si>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</si>
  <si>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</si>
  <si>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</si>
  <si>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</si>
  <si>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</si>
  <si>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</si>
  <si>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</si>
  <si>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</si>
  <si>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</si>
  <si>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</si>
  <si>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</si>
  <si>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</si>
  <si>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</si>
  <si>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revenu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</si>
  <si>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</si>
  <si>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</si>
  <si>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</si>
  <si>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</si>
  <si>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</si>
  <si>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</si>
  <si>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</si>
  <si>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</si>
  <si>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</si>
  <si>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</si>
  <si>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</si>
  <si>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mantracoin</t>
  </si>
  <si>
    <t>rsgpcoin</t>
  </si>
  <si>
    <t>argus</t>
  </si>
  <si>
    <t>concoin</t>
  </si>
  <si>
    <t>save-and-gain</t>
  </si>
  <si>
    <t>sydpak</t>
  </si>
  <si>
    <t>antilitecoin</t>
  </si>
  <si>
    <t>wexcoin</t>
  </si>
  <si>
    <t>burstocean</t>
  </si>
  <si>
    <t>geertcoin</t>
  </si>
  <si>
    <t>rawcoin2</t>
  </si>
  <si>
    <t>biobar</t>
  </si>
  <si>
    <t>bitvolt</t>
  </si>
  <si>
    <t>p7coin</t>
  </si>
  <si>
    <t>ethbits</t>
  </si>
  <si>
    <t>jio-token</t>
  </si>
  <si>
    <t>magnum</t>
  </si>
  <si>
    <t>lex4all</t>
  </si>
  <si>
    <t>selfiecoin</t>
  </si>
  <si>
    <t>1credit</t>
  </si>
  <si>
    <t>environ</t>
  </si>
  <si>
    <t>nodecoin</t>
  </si>
  <si>
    <t>btcdragon</t>
  </si>
  <si>
    <t>enigma</t>
  </si>
  <si>
    <t>elysium</t>
  </si>
  <si>
    <t>pizzacoin</t>
  </si>
  <si>
    <t>swaptoken</t>
  </si>
  <si>
    <t>future-digital-currency</t>
  </si>
  <si>
    <t>mikethemug</t>
  </si>
  <si>
    <t>digital-credits</t>
  </si>
  <si>
    <t>digital-money-bits</t>
  </si>
  <si>
    <t>caliphcoin</t>
  </si>
  <si>
    <t>xenixcoin</t>
  </si>
  <si>
    <t>walton</t>
  </si>
  <si>
    <t>loopring</t>
  </si>
  <si>
    <t>health-care-chain</t>
  </si>
  <si>
    <t>lltoken</t>
  </si>
  <si>
    <t>vechain</t>
  </si>
  <si>
    <t>infchain</t>
  </si>
  <si>
    <t>ug-token</t>
  </si>
  <si>
    <t>dochain</t>
  </si>
  <si>
    <t>bitfid</t>
  </si>
  <si>
    <t>techshares</t>
  </si>
  <si>
    <t>sigmacoin</t>
  </si>
  <si>
    <t>dynamiccoin</t>
  </si>
  <si>
    <t>electionchain</t>
  </si>
  <si>
    <t>asset-backed-coin</t>
  </si>
  <si>
    <t>pura</t>
  </si>
  <si>
    <t>lepaoquan</t>
  </si>
  <si>
    <t>storjcoin-x</t>
  </si>
  <si>
    <t>fargocoin</t>
  </si>
  <si>
    <t>bitok</t>
  </si>
  <si>
    <t>sphre-air</t>
  </si>
  <si>
    <t>poet</t>
  </si>
  <si>
    <t>bagcoin</t>
  </si>
  <si>
    <t>gycoin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</si>
  <si>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</si>
  <si>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</si>
  <si>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</si>
  <si>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</si>
  <si>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</si>
  <si>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</si>
  <si>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</si>
  <si>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</si>
  <si>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</si>
  <si>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</si>
  <si>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fibocoins</t>
  </si>
  <si>
    <t>maker</t>
  </si>
  <si>
    <t>digital-developers-fund</t>
  </si>
  <si>
    <t>growers-international</t>
  </si>
  <si>
    <t>tychocoin</t>
  </si>
  <si>
    <t>digitalfund</t>
  </si>
  <si>
    <t>hbcoin</t>
  </si>
  <si>
    <t>goldpay-coin</t>
  </si>
  <si>
    <t>golos-gold</t>
  </si>
  <si>
    <t>aureus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</si>
  <si>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</si>
  <si>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</si>
  <si>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</si>
  <si>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</si>
  <si>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</si>
  <si>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</si>
  <si>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</si>
  <si>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</si>
  <si>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mind-gene</t>
  </si>
  <si>
    <t>rublebit</t>
  </si>
  <si>
    <t>bolenum</t>
  </si>
  <si>
    <t>axfunds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</si>
  <si>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</si>
  <si>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</si>
  <si>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</si>
  <si>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</si>
  <si>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</si>
  <si>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</si>
  <si>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</si>
  <si>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fedorashare</t>
  </si>
  <si>
    <t>pabyosi-coin-special</t>
  </si>
  <si>
    <t>batcoin</t>
  </si>
  <si>
    <t>flash</t>
  </si>
  <si>
    <t>xtd-coin</t>
  </si>
  <si>
    <t>adcoin</t>
  </si>
  <si>
    <t>ergo</t>
  </si>
  <si>
    <t>turbocoin</t>
  </si>
  <si>
    <t>fuda-energy</t>
  </si>
  <si>
    <t>coupecoin</t>
  </si>
  <si>
    <t>amsterdamcoin</t>
  </si>
  <si>
    <t>monacocoin</t>
  </si>
  <si>
    <t>alpacoin</t>
  </si>
  <si>
    <t>paccoin</t>
  </si>
  <si>
    <t>nexxus</t>
  </si>
  <si>
    <t>namocoin</t>
  </si>
  <si>
    <t>peacecoin</t>
  </si>
  <si>
    <t>t-coin</t>
  </si>
  <si>
    <t>president-johnson</t>
  </si>
  <si>
    <t>pirate-blocks</t>
  </si>
  <si>
    <t>halloween-coin</t>
  </si>
  <si>
    <t>miyucoin</t>
  </si>
  <si>
    <t>moneta2</t>
  </si>
  <si>
    <t>atmcoin</t>
  </si>
  <si>
    <t>excelcoin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</si>
  <si>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</si>
  <si>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</si>
  <si>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</si>
  <si>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</si>
  <si>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</si>
  <si>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</si>
  <si>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</si>
  <si>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</si>
  <si>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</si>
  <si>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</si>
  <si>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</si>
  <si>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</si>
  <si>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</si>
  <si>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</si>
  <si>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</si>
  <si>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</si>
  <si>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</si>
  <si>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wowecoin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</si>
  <si>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</si>
  <si>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</si>
  <si>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</si>
  <si>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</si>
  <si>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</si>
  <si>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</si>
  <si>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</si>
  <si>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</si>
  <si>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</si>
  <si>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</si>
  <si>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</si>
  <si>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</si>
  <si>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</si>
  <si>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yogold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</si>
  <si>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</si>
  <si>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</si>
  <si>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</si>
  <si>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</si>
  <si>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</si>
  <si>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</si>
  <si>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</si>
  <si>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</si>
  <si>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</si>
  <si>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</si>
  <si>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</si>
  <si>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</si>
  <si>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</si>
  <si>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</si>
  <si>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</si>
  <si>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</si>
  <si>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amis</t>
  </si>
  <si>
    <t>snakeeyes</t>
  </si>
  <si>
    <t>emoneypower</t>
  </si>
  <si>
    <t>sportscoin</t>
  </si>
  <si>
    <t>avoncoin</t>
  </si>
  <si>
    <t>btcgold</t>
  </si>
  <si>
    <t>neptune-classic</t>
  </si>
  <si>
    <t>quartz-qrz</t>
  </si>
  <si>
    <t>geysercoin</t>
  </si>
  <si>
    <t>hyper</t>
  </si>
  <si>
    <t>bitcedi</t>
  </si>
  <si>
    <t>edrcoin</t>
  </si>
  <si>
    <t>animecoin</t>
  </si>
  <si>
    <t>soulcoin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</si>
  <si>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</si>
  <si>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</si>
  <si>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</si>
  <si>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</si>
  <si>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</si>
  <si>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</si>
  <si>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</si>
  <si>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</si>
  <si>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</si>
  <si>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</si>
  <si>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</si>
  <si>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etherx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</si>
  <si>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</si>
  <si>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</si>
  <si>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</si>
  <si>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</si>
  <si>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</si>
  <si>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</si>
  <si>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</si>
  <si>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</si>
  <si>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</si>
  <si>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smoke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</si>
  <si>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</si>
  <si>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</si>
  <si>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</si>
  <si>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</si>
  <si>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</si>
  <si>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</si>
  <si>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</si>
  <si>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</si>
  <si>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</si>
  <si>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</si>
  <si>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</si>
  <si>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</si>
  <si>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</si>
  <si>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</si>
  <si>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</si>
  <si>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</si>
  <si>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</si>
  <si>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</si>
  <si>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</si>
  <si>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</si>
  <si>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</si>
  <si>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</si>
  <si>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microcoin</t>
  </si>
  <si>
    <t>pinkdog</t>
  </si>
  <si>
    <t>dubstep</t>
  </si>
  <si>
    <t>mobilecash</t>
  </si>
  <si>
    <t>psilocybin</t>
  </si>
  <si>
    <t>kolschcoin</t>
  </si>
  <si>
    <t>bitcentavo</t>
  </si>
  <si>
    <t>peepcoin</t>
  </si>
  <si>
    <t>international-diamond</t>
  </si>
  <si>
    <t>goldmaxcoin</t>
  </si>
  <si>
    <t>xde-ii</t>
  </si>
  <si>
    <t>quebecoin</t>
  </si>
  <si>
    <t>victoriouscoin</t>
  </si>
  <si>
    <t>shacoin</t>
  </si>
  <si>
    <t>bongger</t>
  </si>
  <si>
    <t>antimatter</t>
  </si>
  <si>
    <t>gameleaguecoin</t>
  </si>
  <si>
    <t>paypeer</t>
  </si>
  <si>
    <t>royalcoin-2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</si>
  <si>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</si>
  <si>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</si>
  <si>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</si>
  <si>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</si>
  <si>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</si>
  <si>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</si>
  <si>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</si>
  <si>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</si>
  <si>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</si>
  <si>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asiccoin</t>
  </si>
  <si>
    <t>sync</t>
  </si>
  <si>
    <t>deltacredits</t>
  </si>
  <si>
    <t>president-sanders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</si>
  <si>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</si>
  <si>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</si>
  <si>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</si>
  <si>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</si>
  <si>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</si>
  <si>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</si>
  <si>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</si>
  <si>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</si>
  <si>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</si>
  <si>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</si>
  <si>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superturbostake</t>
  </si>
  <si>
    <t>gambleo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</si>
  <si>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</si>
  <si>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</si>
  <si>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</si>
  <si>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</si>
  <si>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</si>
  <si>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</si>
  <si>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</si>
  <si>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</si>
  <si>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</si>
  <si>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</si>
  <si>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</si>
  <si>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</si>
  <si>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</si>
  <si>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</si>
  <si>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</si>
  <si>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</si>
  <si>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</si>
  <si>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</si>
  <si>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</si>
  <si>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</si>
  <si>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</si>
  <si>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</si>
  <si>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</si>
  <si>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</si>
  <si>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</si>
  <si>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Date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</si>
  <si>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</si>
  <si>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</si>
  <si>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</si>
  <si>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</si>
  <si>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</si>
  <si>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</si>
  <si>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</si>
  <si>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</si>
  <si>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</si>
  <si>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</si>
  <si>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</si>
  <si>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</si>
  <si>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</si>
  <si>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</si>
  <si>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</si>
  <si>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</si>
  <si>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</si>
  <si>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</si>
  <si>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</si>
  <si>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</si>
  <si>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</si>
  <si>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</si>
  <si>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</si>
  <si>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</si>
  <si>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</si>
  <si>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</si>
  <si>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</si>
  <si>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</si>
  <si>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</si>
  <si>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</si>
  <si>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</si>
  <si>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</si>
  <si>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</si>
  <si>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</si>
  <si>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</si>
  <si>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</si>
  <si>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</si>
  <si>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</si>
  <si>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</si>
  <si>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</si>
  <si>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</si>
  <si>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</si>
  <si>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WBC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</si>
  <si>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</si>
  <si>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</si>
  <si>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</si>
  <si>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</si>
  <si>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</si>
  <si>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</si>
  <si>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</si>
  <si>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</si>
  <si>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</si>
  <si>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</si>
  <si>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</si>
  <si>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wallet-builders-coin</t>
  </si>
  <si>
    <t>WalletBuildersCoin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</si>
  <si>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</si>
  <si>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</si>
  <si>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</si>
  <si>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</si>
  <si>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</si>
  <si>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</si>
  <si>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</si>
  <si>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</si>
  <si>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</si>
  <si>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</si>
  <si>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</si>
  <si>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</si>
  <si>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tronix</t>
  </si>
  <si>
    <t>Tronix</t>
  </si>
  <si>
    <t>TRX</t>
  </si>
  <si>
    <t>neurodao</t>
  </si>
  <si>
    <t>NeuroDAO</t>
  </si>
  <si>
    <t>NDAO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</si>
  <si>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</si>
  <si>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</si>
  <si>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</si>
  <si>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</si>
  <si>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</si>
  <si>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</si>
  <si>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</si>
  <si>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</si>
  <si>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I/O Coin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</si>
  <si>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</si>
  <si>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</si>
  <si>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</si>
  <si>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</si>
  <si>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</si>
  <si>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</si>
  <si>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</si>
  <si>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</si>
  <si>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</si>
  <si>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</si>
  <si>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</si>
  <si>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</si>
  <si>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</si>
  <si>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</si>
  <si>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Top 25 CryptoCurrency Portfolio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</si>
  <si>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</si>
  <si>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</si>
  <si>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</si>
  <si>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</si>
  <si>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</si>
  <si>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</si>
  <si>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</si>
  <si>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</si>
  <si>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</si>
  <si>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</si>
  <si>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</si>
  <si>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</si>
  <si>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</si>
  <si>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</si>
  <si>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</si>
  <si>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</si>
  <si>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nexus-social</t>
  </si>
  <si>
    <t>Nexus Social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</si>
  <si>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</si>
  <si>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</si>
  <si>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</si>
  <si>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</si>
  <si>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</si>
  <si>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</si>
  <si>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</si>
  <si>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</si>
  <si>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</si>
  <si>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</si>
  <si>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</si>
  <si>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</si>
  <si>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</si>
  <si>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</si>
  <si>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Delta (Profitability):</t>
  </si>
  <si>
    <t>Current Delta (Profitability)</t>
  </si>
  <si>
    <t>Please donate if you think this is useful.</t>
  </si>
  <si>
    <t xml:space="preserve">BTC: </t>
  </si>
  <si>
    <r>
      <t xml:space="preserve">CryptoCurrency Portfolio Manager </t>
    </r>
    <r>
      <rPr>
        <b/>
        <sz val="8"/>
        <color theme="1" tint="0.499984740745262"/>
        <rFont val="Calibri"/>
        <family val="2"/>
        <scheme val="minor"/>
      </rPr>
      <t>by MarqRic</t>
    </r>
  </si>
  <si>
    <t>35YviUnThcdgwsHeoHwpPCcddpi3UPtP4s</t>
  </si>
  <si>
    <t>ETH:</t>
  </si>
  <si>
    <t>0xd6E960AF1884092d080f42c9DFe6B14A4019a34F</t>
  </si>
  <si>
    <t>kayi</t>
  </si>
  <si>
    <t>Kayicoin</t>
  </si>
  <si>
    <t>KAYI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</si>
</sst>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</numFmts>
  <fonts count="1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5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2" fontId="8" fillId="0" borderId="7" xfId="2" applyNumberFormat="1" applyFont="1" applyBorder="1" applyAlignment="1" applyProtection="1">
      <alignment horizontal="center" vertical="center"/>
      <protection hidden="1"/>
    </xf>
    <xf numFmtId="167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170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1" xfId="0" applyBorder="1" applyAlignment="1"/>
    <xf numFmtId="0" fontId="0" fillId="0" borderId="12" xfId="0" applyBorder="1" applyAlignment="1"/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3" borderId="10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horizontal="center" vertical="center"/>
      <protection hidden="1"/>
    </xf>
    <xf numFmtId="14" fontId="8" fillId="3" borderId="8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/>
    <xf numFmtId="0" fontId="2" fillId="4" borderId="5" xfId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 wrapText="1"/>
      <protection locked="0"/>
    </xf>
    <xf numFmtId="171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4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4" borderId="9" xfId="0" applyNumberFormat="1" applyFill="1" applyBorder="1" applyAlignment="1" applyProtection="1">
      <alignment horizontal="center" vertical="center" wrapText="1"/>
      <protection locked="0"/>
    </xf>
    <xf numFmtId="0" fontId="2" fillId="4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>
      <alignment horizontal="right"/>
    </xf>
    <xf numFmtId="0" fontId="0" fillId="0" borderId="0" xfId="0" applyFont="1" applyAlignment="1"/>
    <xf numFmtId="0" fontId="0" fillId="0" borderId="0" xfId="0" applyFont="1" applyAlignment="1">
      <alignment horizontal="right" wrapText="1"/>
    </xf>
  </cellXfs>
  <cellStyles count="3">
    <cellStyle name="Hyperlink" xfId="1" builtinId="8"/>
    <cellStyle name="Normal" xfId="0" builtinId="0"/>
    <cellStyle name="Percent" xfId="2" builtinId="5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5</xdr:col>
          <xdr:colOff>419100</xdr:colOff>
          <xdr:row>5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3</xdr:row>
          <xdr:rowOff>47625</xdr:rowOff>
        </xdr:from>
        <xdr:to>
          <xdr:col>6</xdr:col>
          <xdr:colOff>390525</xdr:colOff>
          <xdr:row>5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504825</xdr:colOff>
      <xdr:row>3</xdr:row>
      <xdr:rowOff>9525</xdr:rowOff>
    </xdr:from>
    <xdr:to>
      <xdr:col>8</xdr:col>
      <xdr:colOff>323850</xdr:colOff>
      <xdr:row>5</xdr:row>
      <xdr:rowOff>76200</xdr:rowOff>
    </xdr:to>
    <xdr:sp macro="[0]!RefreshData" textlink="">
      <xdr:nvSpPr>
        <xdr:cNvPr id="4" name="Rounded Rectangle 3"/>
        <xdr:cNvSpPr/>
      </xdr:nvSpPr>
      <xdr:spPr>
        <a:xfrm>
          <a:off x="5210175" y="685800"/>
          <a:ext cx="17430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wallet-builders-coin" TargetMode="External"/><Relationship Id="rId13" Type="http://schemas.openxmlformats.org/officeDocument/2006/relationships/drawing" Target="../drawings/drawing1.xml"/><Relationship Id="rId18" Type="http://schemas.openxmlformats.org/officeDocument/2006/relationships/image" Target="../media/image2.emf"/><Relationship Id="rId3" Type="http://schemas.openxmlformats.org/officeDocument/2006/relationships/hyperlink" Target="https://coinmarketcap.com/currencies/verge" TargetMode="External"/><Relationship Id="rId7" Type="http://schemas.openxmlformats.org/officeDocument/2006/relationships/hyperlink" Target="https://coinmarketcap.com/currencies/litebitcoin" TargetMode="External"/><Relationship Id="rId12" Type="http://schemas.openxmlformats.org/officeDocument/2006/relationships/printerSettings" Target="../printerSettings/printerSettings1.bin"/><Relationship Id="rId17" Type="http://schemas.openxmlformats.org/officeDocument/2006/relationships/control" Target="../activeX/activeX2.xml"/><Relationship Id="rId2" Type="http://schemas.openxmlformats.org/officeDocument/2006/relationships/hyperlink" Target="https://coinmarketcap.com/currencies/colossuscoin-v2" TargetMode="External"/><Relationship Id="rId16" Type="http://schemas.openxmlformats.org/officeDocument/2006/relationships/image" Target="../media/image1.emf"/><Relationship Id="rId1" Type="http://schemas.openxmlformats.org/officeDocument/2006/relationships/hyperlink" Target="https://coinmarketcap.com/currencies/xtrabytes" TargetMode="External"/><Relationship Id="rId6" Type="http://schemas.openxmlformats.org/officeDocument/2006/relationships/hyperlink" Target="https://coinmarketcap.com/currencies/zoin" TargetMode="External"/><Relationship Id="rId11" Type="http://schemas.openxmlformats.org/officeDocument/2006/relationships/hyperlink" Target="https://coinmarketcap.com/currencies/bitcoin" TargetMode="External"/><Relationship Id="rId5" Type="http://schemas.openxmlformats.org/officeDocument/2006/relationships/hyperlink" Target="https://coinmarketcap.com/currencies/smartcash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https://coinmarketcap.com/currencies/neblio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coinmarketcap.com/currencies/posw-coin" TargetMode="External"/><Relationship Id="rId9" Type="http://schemas.openxmlformats.org/officeDocument/2006/relationships/hyperlink" Target="https://coinmarketcap.com/currencies/dogecoin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monacoin" TargetMode="External"/><Relationship Id="rId671" Type="http://schemas.openxmlformats.org/officeDocument/2006/relationships/hyperlink" Target="https://coinmarketcap.com/currencies/aquariuscoin" TargetMode="External"/><Relationship Id="rId769" Type="http://schemas.openxmlformats.org/officeDocument/2006/relationships/hyperlink" Target="https://coinmarketcap.com/currencies/goldpieces" TargetMode="External"/><Relationship Id="rId976" Type="http://schemas.openxmlformats.org/officeDocument/2006/relationships/hyperlink" Target="https://coinmarketcap.com/currencies/clinton" TargetMode="External"/><Relationship Id="rId21" Type="http://schemas.openxmlformats.org/officeDocument/2006/relationships/hyperlink" Target="https://coinmarketcap.com/currencies/maidsafecoin" TargetMode="External"/><Relationship Id="rId324" Type="http://schemas.openxmlformats.org/officeDocument/2006/relationships/hyperlink" Target="https://coinmarketcap.com/currencies/legends-room" TargetMode="External"/><Relationship Id="rId531" Type="http://schemas.openxmlformats.org/officeDocument/2006/relationships/hyperlink" Target="https://coinmarketcap.com/currencies/bitradio" TargetMode="External"/><Relationship Id="rId629" Type="http://schemas.openxmlformats.org/officeDocument/2006/relationships/hyperlink" Target="https://coinmarketcap.com/currencies/mtmgaming" TargetMode="External"/><Relationship Id="rId170" Type="http://schemas.openxmlformats.org/officeDocument/2006/relationships/hyperlink" Target="https://coinmarketcap.com/currencies/salus" TargetMode="External"/><Relationship Id="rId836" Type="http://schemas.openxmlformats.org/officeDocument/2006/relationships/hyperlink" Target="https://coinmarketcap.com/currencies/ibank" TargetMode="External"/><Relationship Id="rId1021" Type="http://schemas.openxmlformats.org/officeDocument/2006/relationships/hyperlink" Target="https://coinmarketcap.com/currencies/wearesatoshi" TargetMode="External"/><Relationship Id="rId1119" Type="http://schemas.openxmlformats.org/officeDocument/2006/relationships/hyperlink" Target="https://coinmarketcap.com/currencies/picoin" TargetMode="External"/><Relationship Id="rId268" Type="http://schemas.openxmlformats.org/officeDocument/2006/relationships/hyperlink" Target="https://coinmarketcap.com/currencies/suncontract" TargetMode="External"/><Relationship Id="rId475" Type="http://schemas.openxmlformats.org/officeDocument/2006/relationships/hyperlink" Target="https://coinmarketcap.com/currencies/marijuanacoin" TargetMode="External"/><Relationship Id="rId682" Type="http://schemas.openxmlformats.org/officeDocument/2006/relationships/hyperlink" Target="https://coinmarketcap.com/currencies/secretcoin" TargetMode="External"/><Relationship Id="rId903" Type="http://schemas.openxmlformats.org/officeDocument/2006/relationships/hyperlink" Target="https://coinmarketcap.com/currencies/neurodao" TargetMode="External"/><Relationship Id="rId32" Type="http://schemas.openxmlformats.org/officeDocument/2006/relationships/hyperlink" Target="https://coinmarketcap.com/currencies/veritaseum" TargetMode="External"/><Relationship Id="rId128" Type="http://schemas.openxmlformats.org/officeDocument/2006/relationships/hyperlink" Target="https://coinmarketcap.com/currencies/nexium" TargetMode="External"/><Relationship Id="rId335" Type="http://schemas.openxmlformats.org/officeDocument/2006/relationships/hyperlink" Target="https://coinmarketcap.com/currencies/huntercoin" TargetMode="External"/><Relationship Id="rId542" Type="http://schemas.openxmlformats.org/officeDocument/2006/relationships/hyperlink" Target="https://coinmarketcap.com/currencies/funcoin" TargetMode="External"/><Relationship Id="rId987" Type="http://schemas.openxmlformats.org/officeDocument/2006/relationships/hyperlink" Target="https://coinmarketcap.com/currencies/yescoin" TargetMode="External"/><Relationship Id="rId181" Type="http://schemas.openxmlformats.org/officeDocument/2006/relationships/hyperlink" Target="https://coinmarketcap.com/currencies/neblio" TargetMode="External"/><Relationship Id="rId402" Type="http://schemas.openxmlformats.org/officeDocument/2006/relationships/hyperlink" Target="https://coinmarketcap.com/currencies/quark" TargetMode="External"/><Relationship Id="rId847" Type="http://schemas.openxmlformats.org/officeDocument/2006/relationships/hyperlink" Target="https://coinmarketcap.com/currencies/1credit" TargetMode="External"/><Relationship Id="rId1032" Type="http://schemas.openxmlformats.org/officeDocument/2006/relationships/hyperlink" Target="https://coinmarketcap.com/currencies/moneycoin" TargetMode="External"/><Relationship Id="rId279" Type="http://schemas.openxmlformats.org/officeDocument/2006/relationships/hyperlink" Target="https://coinmarketcap.com/currencies/transfercoin" TargetMode="External"/><Relationship Id="rId486" Type="http://schemas.openxmlformats.org/officeDocument/2006/relationships/hyperlink" Target="https://coinmarketcap.com/currencies/harmonycoin-hmc" TargetMode="External"/><Relationship Id="rId693" Type="http://schemas.openxmlformats.org/officeDocument/2006/relationships/hyperlink" Target="https://coinmarketcap.com/currencies/bipcoin" TargetMode="External"/><Relationship Id="rId707" Type="http://schemas.openxmlformats.org/officeDocument/2006/relationships/hyperlink" Target="https://coinmarketcap.com/currencies/paycon" TargetMode="External"/><Relationship Id="rId914" Type="http://schemas.openxmlformats.org/officeDocument/2006/relationships/hyperlink" Target="https://coinmarketcap.com/currencies/cybercoin" TargetMode="External"/><Relationship Id="rId43" Type="http://schemas.openxmlformats.org/officeDocument/2006/relationships/hyperlink" Target="https://coinmarketcap.com/currencies/digibyte" TargetMode="External"/><Relationship Id="rId139" Type="http://schemas.openxmlformats.org/officeDocument/2006/relationships/hyperlink" Target="https://coinmarketcap.com/currencies/unobtanium" TargetMode="External"/><Relationship Id="rId346" Type="http://schemas.openxmlformats.org/officeDocument/2006/relationships/hyperlink" Target="https://coinmarketcap.com/currencies/altcoin-alt" TargetMode="External"/><Relationship Id="rId553" Type="http://schemas.openxmlformats.org/officeDocument/2006/relationships/hyperlink" Target="https://coinmarketcap.com/currencies/britcoin" TargetMode="External"/><Relationship Id="rId760" Type="http://schemas.openxmlformats.org/officeDocument/2006/relationships/hyperlink" Target="https://coinmarketcap.com/currencies/gbcgoldcoin" TargetMode="External"/><Relationship Id="rId998" Type="http://schemas.openxmlformats.org/officeDocument/2006/relationships/hyperlink" Target="https://coinmarketcap.com/currencies/fazzcoin" TargetMode="External"/><Relationship Id="rId192" Type="http://schemas.openxmlformats.org/officeDocument/2006/relationships/hyperlink" Target="https://coinmarketcap.com/currencies/bcap" TargetMode="External"/><Relationship Id="rId206" Type="http://schemas.openxmlformats.org/officeDocument/2006/relationships/hyperlink" Target="https://coinmarketcap.com/currencies/smartcash" TargetMode="External"/><Relationship Id="rId413" Type="http://schemas.openxmlformats.org/officeDocument/2006/relationships/hyperlink" Target="https://coinmarketcap.com/currencies/bitbar" TargetMode="External"/><Relationship Id="rId858" Type="http://schemas.openxmlformats.org/officeDocument/2006/relationships/hyperlink" Target="https://coinmarketcap.com/currencies/mantracoin" TargetMode="External"/><Relationship Id="rId1043" Type="http://schemas.openxmlformats.org/officeDocument/2006/relationships/hyperlink" Target="https://coinmarketcap.com/currencies/karmacoin" TargetMode="External"/><Relationship Id="rId497" Type="http://schemas.openxmlformats.org/officeDocument/2006/relationships/hyperlink" Target="https://coinmarketcap.com/currencies/oraclechain" TargetMode="External"/><Relationship Id="rId620" Type="http://schemas.openxmlformats.org/officeDocument/2006/relationships/hyperlink" Target="https://coinmarketcap.com/currencies/emerald" TargetMode="External"/><Relationship Id="rId718" Type="http://schemas.openxmlformats.org/officeDocument/2006/relationships/hyperlink" Target="https://coinmarketcap.com/currencies/bitcoinfast" TargetMode="External"/><Relationship Id="rId925" Type="http://schemas.openxmlformats.org/officeDocument/2006/relationships/hyperlink" Target="https://coinmarketcap.com/currencies/fedorashare" TargetMode="External"/><Relationship Id="rId357" Type="http://schemas.openxmlformats.org/officeDocument/2006/relationships/hyperlink" Target="https://coinmarketcap.com/currencies/dt-token" TargetMode="External"/><Relationship Id="rId1110" Type="http://schemas.openxmlformats.org/officeDocument/2006/relationships/hyperlink" Target="https://coinmarketcap.com/currencies/axfunds" TargetMode="External"/><Relationship Id="rId54" Type="http://schemas.openxmlformats.org/officeDocument/2006/relationships/hyperlink" Target="https://coinmarketcap.com/currencies/funfair" TargetMode="External"/><Relationship Id="rId217" Type="http://schemas.openxmlformats.org/officeDocument/2006/relationships/hyperlink" Target="https://coinmarketcap.com/currencies/blocktix" TargetMode="External"/><Relationship Id="rId564" Type="http://schemas.openxmlformats.org/officeDocument/2006/relationships/hyperlink" Target="https://coinmarketcap.com/currencies/fuelcoin" TargetMode="External"/><Relationship Id="rId771" Type="http://schemas.openxmlformats.org/officeDocument/2006/relationships/hyperlink" Target="https://coinmarketcap.com/currencies/steps" TargetMode="External"/><Relationship Id="rId869" Type="http://schemas.openxmlformats.org/officeDocument/2006/relationships/hyperlink" Target="https://coinmarketcap.com/currencies/future-digital-currency" TargetMode="External"/><Relationship Id="rId424" Type="http://schemas.openxmlformats.org/officeDocument/2006/relationships/hyperlink" Target="https://coinmarketcap.com/currencies/zero" TargetMode="External"/><Relationship Id="rId631" Type="http://schemas.openxmlformats.org/officeDocument/2006/relationships/hyperlink" Target="https://coinmarketcap.com/currencies/globalboost-y" TargetMode="External"/><Relationship Id="rId729" Type="http://schemas.openxmlformats.org/officeDocument/2006/relationships/hyperlink" Target="https://coinmarketcap.com/currencies/global-tour-coin" TargetMode="External"/><Relationship Id="rId1054" Type="http://schemas.openxmlformats.org/officeDocument/2006/relationships/hyperlink" Target="https://coinmarketcap.com/currencies/todaycoin" TargetMode="External"/><Relationship Id="rId270" Type="http://schemas.openxmlformats.org/officeDocument/2006/relationships/hyperlink" Target="https://coinmarketcap.com/currencies/belacoin" TargetMode="External"/><Relationship Id="rId936" Type="http://schemas.openxmlformats.org/officeDocument/2006/relationships/hyperlink" Target="https://coinmarketcap.com/currencies/bitfid" TargetMode="External"/><Relationship Id="rId1121" Type="http://schemas.openxmlformats.org/officeDocument/2006/relationships/hyperlink" Target="https://coinmarketcap.com/currencies/bitcoin" TargetMode="External"/><Relationship Id="rId65" Type="http://schemas.openxmlformats.org/officeDocument/2006/relationships/hyperlink" Target="https://coinmarketcap.com/currencies/edgeless" TargetMode="External"/><Relationship Id="rId130" Type="http://schemas.openxmlformats.org/officeDocument/2006/relationships/hyperlink" Target="https://coinmarketcap.com/currencies/santiment" TargetMode="External"/><Relationship Id="rId368" Type="http://schemas.openxmlformats.org/officeDocument/2006/relationships/hyperlink" Target="https://coinmarketcap.com/currencies/eboostcoin" TargetMode="External"/><Relationship Id="rId575" Type="http://schemas.openxmlformats.org/officeDocument/2006/relationships/hyperlink" Target="https://coinmarketcap.com/currencies/btsr" TargetMode="External"/><Relationship Id="rId782" Type="http://schemas.openxmlformats.org/officeDocument/2006/relationships/hyperlink" Target="https://coinmarketcap.com/currencies/cthulhu-offerings" TargetMode="External"/><Relationship Id="rId228" Type="http://schemas.openxmlformats.org/officeDocument/2006/relationships/hyperlink" Target="https://coinmarketcap.com/currencies/korecoin" TargetMode="External"/><Relationship Id="rId435" Type="http://schemas.openxmlformats.org/officeDocument/2006/relationships/hyperlink" Target="https://coinmarketcap.com/currencies/scorecoin" TargetMode="External"/><Relationship Id="rId642" Type="http://schemas.openxmlformats.org/officeDocument/2006/relationships/hyperlink" Target="https://coinmarketcap.com/currencies/bitgold" TargetMode="External"/><Relationship Id="rId1065" Type="http://schemas.openxmlformats.org/officeDocument/2006/relationships/hyperlink" Target="https://coinmarketcap.com/currencies/xde-ii" TargetMode="External"/><Relationship Id="rId281" Type="http://schemas.openxmlformats.org/officeDocument/2006/relationships/hyperlink" Target="https://coinmarketcap.com/currencies/geocoin" TargetMode="External"/><Relationship Id="rId502" Type="http://schemas.openxmlformats.org/officeDocument/2006/relationships/hyperlink" Target="https://coinmarketcap.com/currencies/stakecoin-stcn" TargetMode="External"/><Relationship Id="rId947" Type="http://schemas.openxmlformats.org/officeDocument/2006/relationships/hyperlink" Target="https://coinmarketcap.com/currencies/bitok" TargetMode="External"/><Relationship Id="rId76" Type="http://schemas.openxmlformats.org/officeDocument/2006/relationships/hyperlink" Target="https://coinmarketcap.com/currencies/nav-coin" TargetMode="External"/><Relationship Id="rId141" Type="http://schemas.openxmlformats.org/officeDocument/2006/relationships/hyperlink" Target="https://coinmarketcap.com/currencies/diamond" TargetMode="External"/><Relationship Id="rId379" Type="http://schemas.openxmlformats.org/officeDocument/2006/relationships/hyperlink" Target="https://coinmarketcap.com/currencies/renos" TargetMode="External"/><Relationship Id="rId586" Type="http://schemas.openxmlformats.org/officeDocument/2006/relationships/hyperlink" Target="https://coinmarketcap.com/currencies/version" TargetMode="External"/><Relationship Id="rId793" Type="http://schemas.openxmlformats.org/officeDocument/2006/relationships/hyperlink" Target="https://coinmarketcap.com/currencies/bios-crypto" TargetMode="External"/><Relationship Id="rId807" Type="http://schemas.openxmlformats.org/officeDocument/2006/relationships/hyperlink" Target="https://coinmarketcap.com/currencies/fuzzballs" TargetMode="External"/><Relationship Id="rId7" Type="http://schemas.openxmlformats.org/officeDocument/2006/relationships/hyperlink" Target="https://coinmarketcap.com/currencies/iota" TargetMode="External"/><Relationship Id="rId239" Type="http://schemas.openxmlformats.org/officeDocument/2006/relationships/hyperlink" Target="https://coinmarketcap.com/currencies/daxxcoin" TargetMode="External"/><Relationship Id="rId446" Type="http://schemas.openxmlformats.org/officeDocument/2006/relationships/hyperlink" Target="https://coinmarketcap.com/currencies/lanacoin" TargetMode="External"/><Relationship Id="rId653" Type="http://schemas.openxmlformats.org/officeDocument/2006/relationships/hyperlink" Target="https://coinmarketcap.com/currencies/darsek" TargetMode="External"/><Relationship Id="rId1076" Type="http://schemas.openxmlformats.org/officeDocument/2006/relationships/hyperlink" Target="https://coinmarketcap.com/currencies/dochain" TargetMode="External"/><Relationship Id="rId292" Type="http://schemas.openxmlformats.org/officeDocument/2006/relationships/hyperlink" Target="https://coinmarketcap.com/currencies/nushares" TargetMode="External"/><Relationship Id="rId306" Type="http://schemas.openxmlformats.org/officeDocument/2006/relationships/hyperlink" Target="https://coinmarketcap.com/currencies/centurion" TargetMode="External"/><Relationship Id="rId860" Type="http://schemas.openxmlformats.org/officeDocument/2006/relationships/hyperlink" Target="https://coinmarketcap.com/currencies/jio-token" TargetMode="External"/><Relationship Id="rId958" Type="http://schemas.openxmlformats.org/officeDocument/2006/relationships/hyperlink" Target="https://coinmarketcap.com/currencies/victoriouscoin" TargetMode="External"/><Relationship Id="rId87" Type="http://schemas.openxmlformats.org/officeDocument/2006/relationships/hyperlink" Target="https://coinmarketcap.com/currencies/nolimitcoin" TargetMode="External"/><Relationship Id="rId513" Type="http://schemas.openxmlformats.org/officeDocument/2006/relationships/hyperlink" Target="https://coinmarketcap.com/currencies/blockpay" TargetMode="External"/><Relationship Id="rId597" Type="http://schemas.openxmlformats.org/officeDocument/2006/relationships/hyperlink" Target="https://coinmarketcap.com/currencies/fluttercoin" TargetMode="External"/><Relationship Id="rId720" Type="http://schemas.openxmlformats.org/officeDocument/2006/relationships/hyperlink" Target="https://coinmarketcap.com/currencies/flavorcoin" TargetMode="External"/><Relationship Id="rId818" Type="http://schemas.openxmlformats.org/officeDocument/2006/relationships/hyperlink" Target="https://coinmarketcap.com/currencies/px" TargetMode="External"/><Relationship Id="rId152" Type="http://schemas.openxmlformats.org/officeDocument/2006/relationships/hyperlink" Target="https://coinmarketcap.com/currencies/coindash" TargetMode="External"/><Relationship Id="rId457" Type="http://schemas.openxmlformats.org/officeDocument/2006/relationships/hyperlink" Target="https://coinmarketcap.com/currencies/tickets" TargetMode="External"/><Relationship Id="rId1003" Type="http://schemas.openxmlformats.org/officeDocument/2006/relationships/hyperlink" Target="https://coinmarketcap.com/currencies/wowcoin" TargetMode="External"/><Relationship Id="rId1087" Type="http://schemas.openxmlformats.org/officeDocument/2006/relationships/hyperlink" Target="https://coinmarketcap.com/currencies/gambleo" TargetMode="External"/><Relationship Id="rId664" Type="http://schemas.openxmlformats.org/officeDocument/2006/relationships/hyperlink" Target="https://coinmarketcap.com/currencies/boostcoin" TargetMode="External"/><Relationship Id="rId871" Type="http://schemas.openxmlformats.org/officeDocument/2006/relationships/hyperlink" Target="https://coinmarketcap.com/currencies/digital-credits" TargetMode="External"/><Relationship Id="rId969" Type="http://schemas.openxmlformats.org/officeDocument/2006/relationships/hyperlink" Target="https://coinmarketcap.com/currencies/voyacoin" TargetMode="External"/><Relationship Id="rId14" Type="http://schemas.openxmlformats.org/officeDocument/2006/relationships/hyperlink" Target="https://coinmarketcap.com/currencies/qtum" TargetMode="External"/><Relationship Id="rId317" Type="http://schemas.openxmlformats.org/officeDocument/2006/relationships/hyperlink" Target="https://coinmarketcap.com/currencies/veriumreserve" TargetMode="External"/><Relationship Id="rId524" Type="http://schemas.openxmlformats.org/officeDocument/2006/relationships/hyperlink" Target="https://coinmarketcap.com/currencies/rustbits" TargetMode="External"/><Relationship Id="rId731" Type="http://schemas.openxmlformats.org/officeDocument/2006/relationships/hyperlink" Target="https://coinmarketcap.com/currencies/allsafe" TargetMode="External"/><Relationship Id="rId98" Type="http://schemas.openxmlformats.org/officeDocument/2006/relationships/hyperlink" Target="https://coinmarketcap.com/currencies/okcash" TargetMode="External"/><Relationship Id="rId163" Type="http://schemas.openxmlformats.org/officeDocument/2006/relationships/hyperlink" Target="https://coinmarketcap.com/currencies/agoras-tokens" TargetMode="External"/><Relationship Id="rId370" Type="http://schemas.openxmlformats.org/officeDocument/2006/relationships/hyperlink" Target="https://coinmarketcap.com/currencies/1337coin" TargetMode="External"/><Relationship Id="rId829" Type="http://schemas.openxmlformats.org/officeDocument/2006/relationships/hyperlink" Target="https://coinmarketcap.com/currencies/anarchistsprime" TargetMode="External"/><Relationship Id="rId1014" Type="http://schemas.openxmlformats.org/officeDocument/2006/relationships/hyperlink" Target="https://coinmarketcap.com/currencies/geysercoin" TargetMode="External"/><Relationship Id="rId230" Type="http://schemas.openxmlformats.org/officeDocument/2006/relationships/hyperlink" Target="https://coinmarketcap.com/currencies/pepe-cash" TargetMode="External"/><Relationship Id="rId468" Type="http://schemas.openxmlformats.org/officeDocument/2006/relationships/hyperlink" Target="https://coinmarketcap.com/currencies/ecocoin" TargetMode="External"/><Relationship Id="rId675" Type="http://schemas.openxmlformats.org/officeDocument/2006/relationships/hyperlink" Target="https://coinmarketcap.com/currencies/spacecoin" TargetMode="External"/><Relationship Id="rId882" Type="http://schemas.openxmlformats.org/officeDocument/2006/relationships/hyperlink" Target="https://coinmarketcap.com/currencies/ethereum-dark" TargetMode="External"/><Relationship Id="rId1098" Type="http://schemas.openxmlformats.org/officeDocument/2006/relationships/hyperlink" Target="https://coinmarketcap.com/currencies/lazaruscoin" TargetMode="External"/><Relationship Id="rId25" Type="http://schemas.openxmlformats.org/officeDocument/2006/relationships/hyperlink" Target="https://coinmarketcap.com/currencies/decred" TargetMode="External"/><Relationship Id="rId328" Type="http://schemas.openxmlformats.org/officeDocument/2006/relationships/hyperlink" Target="https://coinmarketcap.com/currencies/adelphoi" TargetMode="External"/><Relationship Id="rId535" Type="http://schemas.openxmlformats.org/officeDocument/2006/relationships/hyperlink" Target="https://coinmarketcap.com/currencies/bitz" TargetMode="External"/><Relationship Id="rId742" Type="http://schemas.openxmlformats.org/officeDocument/2006/relationships/hyperlink" Target="https://coinmarketcap.com/currencies/beavercoin" TargetMode="External"/><Relationship Id="rId174" Type="http://schemas.openxmlformats.org/officeDocument/2006/relationships/hyperlink" Target="https://coinmarketcap.com/currencies/swarm-city" TargetMode="External"/><Relationship Id="rId381" Type="http://schemas.openxmlformats.org/officeDocument/2006/relationships/hyperlink" Target="https://coinmarketcap.com/currencies/miners-reward-token" TargetMode="External"/><Relationship Id="rId602" Type="http://schemas.openxmlformats.org/officeDocument/2006/relationships/hyperlink" Target="https://coinmarketcap.com/currencies/paycoin2" TargetMode="External"/><Relationship Id="rId1025" Type="http://schemas.openxmlformats.org/officeDocument/2006/relationships/hyperlink" Target="https://coinmarketcap.com/currencies/mavro" TargetMode="External"/><Relationship Id="rId241" Type="http://schemas.openxmlformats.org/officeDocument/2006/relationships/hyperlink" Target="https://coinmarketcap.com/currencies/mybit-token" TargetMode="External"/><Relationship Id="rId479" Type="http://schemas.openxmlformats.org/officeDocument/2006/relationships/hyperlink" Target="https://coinmarketcap.com/currencies/comet" TargetMode="External"/><Relationship Id="rId686" Type="http://schemas.openxmlformats.org/officeDocument/2006/relationships/hyperlink" Target="https://coinmarketcap.com/currencies/guncoin" TargetMode="External"/><Relationship Id="rId893" Type="http://schemas.openxmlformats.org/officeDocument/2006/relationships/hyperlink" Target="https://coinmarketcap.com/currencies/sphre-air" TargetMode="External"/><Relationship Id="rId907" Type="http://schemas.openxmlformats.org/officeDocument/2006/relationships/hyperlink" Target="https://coinmarketcap.com/currencies/bitqy" TargetMode="External"/><Relationship Id="rId36" Type="http://schemas.openxmlformats.org/officeDocument/2006/relationships/hyperlink" Target="https://coinmarketcap.com/currencies/metal" TargetMode="External"/><Relationship Id="rId339" Type="http://schemas.openxmlformats.org/officeDocument/2006/relationships/hyperlink" Target="https://coinmarketcap.com/currencies/e-gulden" TargetMode="External"/><Relationship Id="rId546" Type="http://schemas.openxmlformats.org/officeDocument/2006/relationships/hyperlink" Target="https://coinmarketcap.com/currencies/cryptoforecast" TargetMode="External"/><Relationship Id="rId753" Type="http://schemas.openxmlformats.org/officeDocument/2006/relationships/hyperlink" Target="https://coinmarketcap.com/currencies/destiny" TargetMode="External"/><Relationship Id="rId101" Type="http://schemas.openxmlformats.org/officeDocument/2006/relationships/hyperlink" Target="https://coinmarketcap.com/currencies/walton" TargetMode="External"/><Relationship Id="rId185" Type="http://schemas.openxmlformats.org/officeDocument/2006/relationships/hyperlink" Target="https://coinmarketcap.com/currencies/moeda-loyalty-points" TargetMode="External"/><Relationship Id="rId406" Type="http://schemas.openxmlformats.org/officeDocument/2006/relationships/hyperlink" Target="https://coinmarketcap.com/currencies/prototanium" TargetMode="External"/><Relationship Id="rId960" Type="http://schemas.openxmlformats.org/officeDocument/2006/relationships/hyperlink" Target="https://coinmarketcap.com/currencies/netbit" TargetMode="External"/><Relationship Id="rId1036" Type="http://schemas.openxmlformats.org/officeDocument/2006/relationships/hyperlink" Target="https://coinmarketcap.com/currencies/advanced-internet-blocks" TargetMode="External"/><Relationship Id="rId392" Type="http://schemas.openxmlformats.org/officeDocument/2006/relationships/hyperlink" Target="https://coinmarketcap.com/currencies/pandacoin-pnd" TargetMode="External"/><Relationship Id="rId613" Type="http://schemas.openxmlformats.org/officeDocument/2006/relationships/hyperlink" Target="https://coinmarketcap.com/currencies/bittokens" TargetMode="External"/><Relationship Id="rId697" Type="http://schemas.openxmlformats.org/officeDocument/2006/relationships/hyperlink" Target="https://coinmarketcap.com/currencies/wmcoin" TargetMode="External"/><Relationship Id="rId820" Type="http://schemas.openxmlformats.org/officeDocument/2006/relationships/hyperlink" Target="https://coinmarketcap.com/currencies/songcoin" TargetMode="External"/><Relationship Id="rId918" Type="http://schemas.openxmlformats.org/officeDocument/2006/relationships/hyperlink" Target="https://coinmarketcap.com/currencies/bowhead" TargetMode="External"/><Relationship Id="rId252" Type="http://schemas.openxmlformats.org/officeDocument/2006/relationships/hyperlink" Target="https://coinmarketcap.com/currencies/qwark" TargetMode="External"/><Relationship Id="rId1103" Type="http://schemas.openxmlformats.org/officeDocument/2006/relationships/hyperlink" Target="https://coinmarketcap.com/currencies/teamup" TargetMode="External"/><Relationship Id="rId47" Type="http://schemas.openxmlformats.org/officeDocument/2006/relationships/hyperlink" Target="https://coinmarketcap.com/currencies/ardor" TargetMode="External"/><Relationship Id="rId112" Type="http://schemas.openxmlformats.org/officeDocument/2006/relationships/hyperlink" Target="https://coinmarketcap.com/currencies/quantum-resistant-ledger" TargetMode="External"/><Relationship Id="rId557" Type="http://schemas.openxmlformats.org/officeDocument/2006/relationships/hyperlink" Target="https://coinmarketcap.com/currencies/jetcoin" TargetMode="External"/><Relationship Id="rId764" Type="http://schemas.openxmlformats.org/officeDocument/2006/relationships/hyperlink" Target="https://coinmarketcap.com/currencies/mindcoin" TargetMode="External"/><Relationship Id="rId971" Type="http://schemas.openxmlformats.org/officeDocument/2006/relationships/hyperlink" Target="https://coinmarketcap.com/currencies/sharkcoin" TargetMode="External"/><Relationship Id="rId196" Type="http://schemas.openxmlformats.org/officeDocument/2006/relationships/hyperlink" Target="https://coinmarketcap.com/currencies/soarcoin" TargetMode="External"/><Relationship Id="rId417" Type="http://schemas.openxmlformats.org/officeDocument/2006/relationships/hyperlink" Target="https://coinmarketcap.com/currencies/netcoin" TargetMode="External"/><Relationship Id="rId624" Type="http://schemas.openxmlformats.org/officeDocument/2006/relationships/hyperlink" Target="https://coinmarketcap.com/currencies/blakecoin" TargetMode="External"/><Relationship Id="rId831" Type="http://schemas.openxmlformats.org/officeDocument/2006/relationships/hyperlink" Target="https://coinmarketcap.com/currencies/ego" TargetMode="External"/><Relationship Id="rId1047" Type="http://schemas.openxmlformats.org/officeDocument/2006/relationships/hyperlink" Target="https://coinmarketcap.com/currencies/shellcoin" TargetMode="External"/><Relationship Id="rId263" Type="http://schemas.openxmlformats.org/officeDocument/2006/relationships/hyperlink" Target="https://coinmarketcap.com/currencies/zrcoin" TargetMode="External"/><Relationship Id="rId470" Type="http://schemas.openxmlformats.org/officeDocument/2006/relationships/hyperlink" Target="https://coinmarketcap.com/currencies/campuscoin" TargetMode="External"/><Relationship Id="rId929" Type="http://schemas.openxmlformats.org/officeDocument/2006/relationships/hyperlink" Target="https://coinmarketcap.com/currencies/flash" TargetMode="External"/><Relationship Id="rId1114" Type="http://schemas.openxmlformats.org/officeDocument/2006/relationships/hyperlink" Target="https://coinmarketcap.com/currencies/gulfcoin" TargetMode="External"/><Relationship Id="rId58" Type="http://schemas.openxmlformats.org/officeDocument/2006/relationships/hyperlink" Target="https://coinmarketcap.com/currencies/verge" TargetMode="External"/><Relationship Id="rId123" Type="http://schemas.openxmlformats.org/officeDocument/2006/relationships/hyperlink" Target="https://coinmarketcap.com/currencies/polybius" TargetMode="External"/><Relationship Id="rId330" Type="http://schemas.openxmlformats.org/officeDocument/2006/relationships/hyperlink" Target="https://coinmarketcap.com/currencies/zennies" TargetMode="External"/><Relationship Id="rId568" Type="http://schemas.openxmlformats.org/officeDocument/2006/relationships/hyperlink" Target="https://coinmarketcap.com/currencies/ambercoin" TargetMode="External"/><Relationship Id="rId775" Type="http://schemas.openxmlformats.org/officeDocument/2006/relationships/hyperlink" Target="https://coinmarketcap.com/currencies/photon" TargetMode="External"/><Relationship Id="rId982" Type="http://schemas.openxmlformats.org/officeDocument/2006/relationships/hyperlink" Target="https://coinmarketcap.com/currencies/halloween-coin" TargetMode="External"/><Relationship Id="rId428" Type="http://schemas.openxmlformats.org/officeDocument/2006/relationships/hyperlink" Target="https://coinmarketcap.com/currencies/8bit" TargetMode="External"/><Relationship Id="rId635" Type="http://schemas.openxmlformats.org/officeDocument/2006/relationships/hyperlink" Target="https://coinmarketcap.com/currencies/revolvercoin" TargetMode="External"/><Relationship Id="rId842" Type="http://schemas.openxmlformats.org/officeDocument/2006/relationships/hyperlink" Target="https://coinmarketcap.com/currencies/concoin" TargetMode="External"/><Relationship Id="rId1058" Type="http://schemas.openxmlformats.org/officeDocument/2006/relationships/hyperlink" Target="https://coinmarketcap.com/currencies/rhfcoin" TargetMode="External"/><Relationship Id="rId274" Type="http://schemas.openxmlformats.org/officeDocument/2006/relationships/hyperlink" Target="https://coinmarketcap.com/currencies/htmlcoin" TargetMode="External"/><Relationship Id="rId481" Type="http://schemas.openxmlformats.org/officeDocument/2006/relationships/hyperlink" Target="https://coinmarketcap.com/currencies/litecoin-ultra" TargetMode="External"/><Relationship Id="rId702" Type="http://schemas.openxmlformats.org/officeDocument/2006/relationships/hyperlink" Target="https://coinmarketcap.com/currencies/antibitcoin" TargetMode="External"/><Relationship Id="rId69" Type="http://schemas.openxmlformats.org/officeDocument/2006/relationships/hyperlink" Target="https://coinmarketcap.com/currencies/particl" TargetMode="External"/><Relationship Id="rId134" Type="http://schemas.openxmlformats.org/officeDocument/2006/relationships/hyperlink" Target="https://coinmarketcap.com/currencies/clams" TargetMode="External"/><Relationship Id="rId579" Type="http://schemas.openxmlformats.org/officeDocument/2006/relationships/hyperlink" Target="https://coinmarketcap.com/currencies/i0coin" TargetMode="External"/><Relationship Id="rId786" Type="http://schemas.openxmlformats.org/officeDocument/2006/relationships/hyperlink" Target="https://coinmarketcap.com/currencies/dix-asset" TargetMode="External"/><Relationship Id="rId993" Type="http://schemas.openxmlformats.org/officeDocument/2006/relationships/hyperlink" Target="https://coinmarketcap.com/currencies/fireflycoin" TargetMode="External"/><Relationship Id="rId341" Type="http://schemas.openxmlformats.org/officeDocument/2006/relationships/hyperlink" Target="https://coinmarketcap.com/currencies/minereum" TargetMode="External"/><Relationship Id="rId439" Type="http://schemas.openxmlformats.org/officeDocument/2006/relationships/hyperlink" Target="https://coinmarketcap.com/currencies/elcoin-el" TargetMode="External"/><Relationship Id="rId646" Type="http://schemas.openxmlformats.org/officeDocument/2006/relationships/hyperlink" Target="https://coinmarketcap.com/currencies/hempcoin-hmp" TargetMode="External"/><Relationship Id="rId1069" Type="http://schemas.openxmlformats.org/officeDocument/2006/relationships/hyperlink" Target="https://coinmarketcap.com/currencies/x2" TargetMode="External"/><Relationship Id="rId201" Type="http://schemas.openxmlformats.org/officeDocument/2006/relationships/hyperlink" Target="https://coinmarketcap.com/currencies/nimiq" TargetMode="External"/><Relationship Id="rId285" Type="http://schemas.openxmlformats.org/officeDocument/2006/relationships/hyperlink" Target="https://coinmarketcap.com/currencies/happycoin" TargetMode="External"/><Relationship Id="rId506" Type="http://schemas.openxmlformats.org/officeDocument/2006/relationships/hyperlink" Target="https://coinmarketcap.com/currencies/monacocoin" TargetMode="External"/><Relationship Id="rId853" Type="http://schemas.openxmlformats.org/officeDocument/2006/relationships/hyperlink" Target="https://coinmarketcap.com/currencies/nodecoin" TargetMode="External"/><Relationship Id="rId492" Type="http://schemas.openxmlformats.org/officeDocument/2006/relationships/hyperlink" Target="https://coinmarketcap.com/currencies/ico" TargetMode="External"/><Relationship Id="rId713" Type="http://schemas.openxmlformats.org/officeDocument/2006/relationships/hyperlink" Target="https://coinmarketcap.com/currencies/marscoin" TargetMode="External"/><Relationship Id="rId797" Type="http://schemas.openxmlformats.org/officeDocument/2006/relationships/hyperlink" Target="https://coinmarketcap.com/currencies/socialcoin-socc" TargetMode="External"/><Relationship Id="rId920" Type="http://schemas.openxmlformats.org/officeDocument/2006/relationships/hyperlink" Target="https://coinmarketcap.com/currencies/ox-fina" TargetMode="External"/><Relationship Id="rId145" Type="http://schemas.openxmlformats.org/officeDocument/2006/relationships/hyperlink" Target="https://coinmarketcap.com/currencies/mysterium" TargetMode="External"/><Relationship Id="rId352" Type="http://schemas.openxmlformats.org/officeDocument/2006/relationships/hyperlink" Target="https://coinmarketcap.com/currencies/infinitecoin" TargetMode="External"/><Relationship Id="rId212" Type="http://schemas.openxmlformats.org/officeDocument/2006/relationships/hyperlink" Target="https://coinmarketcap.com/currencies/novacoin" TargetMode="External"/><Relationship Id="rId657" Type="http://schemas.openxmlformats.org/officeDocument/2006/relationships/hyperlink" Target="https://coinmarketcap.com/currencies/parallelcoin" TargetMode="External"/><Relationship Id="rId864" Type="http://schemas.openxmlformats.org/officeDocument/2006/relationships/hyperlink" Target="https://coinmarketcap.com/currencies/mikethemug" TargetMode="External"/><Relationship Id="rId296" Type="http://schemas.openxmlformats.org/officeDocument/2006/relationships/hyperlink" Target="https://coinmarketcap.com/currencies/espers" TargetMode="External"/><Relationship Id="rId517" Type="http://schemas.openxmlformats.org/officeDocument/2006/relationships/hyperlink" Target="https://coinmarketcap.com/currencies/casinocoin" TargetMode="External"/><Relationship Id="rId724" Type="http://schemas.openxmlformats.org/officeDocument/2006/relationships/hyperlink" Target="https://coinmarketcap.com/currencies/ponzicoin" TargetMode="External"/><Relationship Id="rId931" Type="http://schemas.openxmlformats.org/officeDocument/2006/relationships/hyperlink" Target="https://coinmarketcap.com/currencies/universalroyalcoin" TargetMode="External"/><Relationship Id="rId60" Type="http://schemas.openxmlformats.org/officeDocument/2006/relationships/hyperlink" Target="https://coinmarketcap.com/currencies/status" TargetMode="External"/><Relationship Id="rId156" Type="http://schemas.openxmlformats.org/officeDocument/2006/relationships/hyperlink" Target="https://coinmarketcap.com/currencies/radium" TargetMode="External"/><Relationship Id="rId363" Type="http://schemas.openxmlformats.org/officeDocument/2006/relationships/hyperlink" Target="https://coinmarketcap.com/currencies/maxcoin" TargetMode="External"/><Relationship Id="rId570" Type="http://schemas.openxmlformats.org/officeDocument/2006/relationships/hyperlink" Target="https://coinmarketcap.com/currencies/anoncoin" TargetMode="External"/><Relationship Id="rId1007" Type="http://schemas.openxmlformats.org/officeDocument/2006/relationships/hyperlink" Target="https://coinmarketcap.com/currencies/donationcoin" TargetMode="External"/><Relationship Id="rId223" Type="http://schemas.openxmlformats.org/officeDocument/2006/relationships/hyperlink" Target="https://coinmarketcap.com/currencies/unity-ingot" TargetMode="External"/><Relationship Id="rId430" Type="http://schemas.openxmlformats.org/officeDocument/2006/relationships/hyperlink" Target="https://coinmarketcap.com/currencies/newbium" TargetMode="External"/><Relationship Id="rId668" Type="http://schemas.openxmlformats.org/officeDocument/2006/relationships/hyperlink" Target="https://coinmarketcap.com/currencies/mustangcoin" TargetMode="External"/><Relationship Id="rId875" Type="http://schemas.openxmlformats.org/officeDocument/2006/relationships/hyperlink" Target="https://coinmarketcap.com/currencies/internet-of-people" TargetMode="External"/><Relationship Id="rId1060" Type="http://schemas.openxmlformats.org/officeDocument/2006/relationships/hyperlink" Target="https://coinmarketcap.com/currencies/hyper" TargetMode="External"/><Relationship Id="rId18" Type="http://schemas.openxmlformats.org/officeDocument/2006/relationships/hyperlink" Target="https://coinmarketcap.com/currencies/waves" TargetMode="External"/><Relationship Id="rId528" Type="http://schemas.openxmlformats.org/officeDocument/2006/relationships/hyperlink" Target="https://coinmarketcap.com/currencies/remicoin" TargetMode="External"/><Relationship Id="rId735" Type="http://schemas.openxmlformats.org/officeDocument/2006/relationships/hyperlink" Target="https://coinmarketcap.com/currencies/quatloo" TargetMode="External"/><Relationship Id="rId942" Type="http://schemas.openxmlformats.org/officeDocument/2006/relationships/hyperlink" Target="https://coinmarketcap.com/currencies/teslacoilcoin" TargetMode="External"/><Relationship Id="rId167" Type="http://schemas.openxmlformats.org/officeDocument/2006/relationships/hyperlink" Target="https://coinmarketcap.com/currencies/synereo" TargetMode="External"/><Relationship Id="rId374" Type="http://schemas.openxmlformats.org/officeDocument/2006/relationships/hyperlink" Target="https://coinmarketcap.com/currencies/808coin" TargetMode="External"/><Relationship Id="rId581" Type="http://schemas.openxmlformats.org/officeDocument/2006/relationships/hyperlink" Target="https://coinmarketcap.com/currencies/o2olondoncoin" TargetMode="External"/><Relationship Id="rId1018" Type="http://schemas.openxmlformats.org/officeDocument/2006/relationships/hyperlink" Target="https://coinmarketcap.com/currencies/avoncoin" TargetMode="External"/><Relationship Id="rId71" Type="http://schemas.openxmlformats.org/officeDocument/2006/relationships/hyperlink" Target="https://coinmarketcap.com/currencies/firstcoin" TargetMode="External"/><Relationship Id="rId234" Type="http://schemas.openxmlformats.org/officeDocument/2006/relationships/hyperlink" Target="https://coinmarketcap.com/currencies/dnotes" TargetMode="External"/><Relationship Id="rId679" Type="http://schemas.openxmlformats.org/officeDocument/2006/relationships/hyperlink" Target="https://coinmarketcap.com/currencies/elementrem" TargetMode="External"/><Relationship Id="rId802" Type="http://schemas.openxmlformats.org/officeDocument/2006/relationships/hyperlink" Target="https://coinmarketcap.com/currencies/bnrtxcoin" TargetMode="External"/><Relationship Id="rId886" Type="http://schemas.openxmlformats.org/officeDocument/2006/relationships/hyperlink" Target="https://coinmarketcap.com/currencies/golos-gold" TargetMode="External"/><Relationship Id="rId2" Type="http://schemas.openxmlformats.org/officeDocument/2006/relationships/hyperlink" Target="https://coinmarketcap.com/currencies/bitcoin-cash" TargetMode="External"/><Relationship Id="rId29" Type="http://schemas.openxmlformats.org/officeDocument/2006/relationships/hyperlink" Target="https://coinmarketcap.com/currencies/augur" TargetMode="External"/><Relationship Id="rId441" Type="http://schemas.openxmlformats.org/officeDocument/2006/relationships/hyperlink" Target="https://coinmarketcap.com/currencies/futurexe" TargetMode="External"/><Relationship Id="rId539" Type="http://schemas.openxmlformats.org/officeDocument/2006/relationships/hyperlink" Target="https://coinmarketcap.com/currencies/casino" TargetMode="External"/><Relationship Id="rId746" Type="http://schemas.openxmlformats.org/officeDocument/2006/relationships/hyperlink" Target="https://coinmarketcap.com/currencies/jewels" TargetMode="External"/><Relationship Id="rId1071" Type="http://schemas.openxmlformats.org/officeDocument/2006/relationships/hyperlink" Target="https://coinmarketcap.com/currencies/topaz" TargetMode="External"/><Relationship Id="rId178" Type="http://schemas.openxmlformats.org/officeDocument/2006/relationships/hyperlink" Target="https://coinmarketcap.com/currencies/wagerr" TargetMode="External"/><Relationship Id="rId301" Type="http://schemas.openxmlformats.org/officeDocument/2006/relationships/hyperlink" Target="https://coinmarketcap.com/currencies/neutron" TargetMode="External"/><Relationship Id="rId953" Type="http://schemas.openxmlformats.org/officeDocument/2006/relationships/hyperlink" Target="https://coinmarketcap.com/currencies/brat" TargetMode="External"/><Relationship Id="rId1029" Type="http://schemas.openxmlformats.org/officeDocument/2006/relationships/hyperlink" Target="https://coinmarketcap.com/currencies/dashs" TargetMode="External"/><Relationship Id="rId82" Type="http://schemas.openxmlformats.org/officeDocument/2006/relationships/hyperlink" Target="https://coinmarketcap.com/currencies/bytom" TargetMode="External"/><Relationship Id="rId385" Type="http://schemas.openxmlformats.org/officeDocument/2006/relationships/hyperlink" Target="https://coinmarketcap.com/currencies/eternity" TargetMode="External"/><Relationship Id="rId592" Type="http://schemas.openxmlformats.org/officeDocument/2006/relationships/hyperlink" Target="https://coinmarketcap.com/currencies/phoenixcoin" TargetMode="External"/><Relationship Id="rId606" Type="http://schemas.openxmlformats.org/officeDocument/2006/relationships/hyperlink" Target="https://coinmarketcap.com/currencies/mineum" TargetMode="External"/><Relationship Id="rId813" Type="http://schemas.openxmlformats.org/officeDocument/2006/relationships/hyperlink" Target="https://coinmarketcap.com/currencies/vault-coin" TargetMode="External"/><Relationship Id="rId245" Type="http://schemas.openxmlformats.org/officeDocument/2006/relationships/hyperlink" Target="https://coinmarketcap.com/currencies/trueflip" TargetMode="External"/><Relationship Id="rId452" Type="http://schemas.openxmlformats.org/officeDocument/2006/relationships/hyperlink" Target="https://coinmarketcap.com/currencies/tekcoin" TargetMode="External"/><Relationship Id="rId897" Type="http://schemas.openxmlformats.org/officeDocument/2006/relationships/hyperlink" Target="https://coinmarketcap.com/currencies/kayi" TargetMode="External"/><Relationship Id="rId1082" Type="http://schemas.openxmlformats.org/officeDocument/2006/relationships/hyperlink" Target="https://coinmarketcap.com/currencies/safecoin" TargetMode="External"/><Relationship Id="rId105" Type="http://schemas.openxmlformats.org/officeDocument/2006/relationships/hyperlink" Target="https://coinmarketcap.com/currencies/firstblood" TargetMode="External"/><Relationship Id="rId312" Type="http://schemas.openxmlformats.org/officeDocument/2006/relationships/hyperlink" Target="https://coinmarketcap.com/currencies/primecoin" TargetMode="External"/><Relationship Id="rId757" Type="http://schemas.openxmlformats.org/officeDocument/2006/relationships/hyperlink" Target="https://coinmarketcap.com/currencies/tradecoin-v2" TargetMode="External"/><Relationship Id="rId964" Type="http://schemas.openxmlformats.org/officeDocument/2006/relationships/hyperlink" Target="https://coinmarketcap.com/currencies/magnetcoin" TargetMode="External"/><Relationship Id="rId93" Type="http://schemas.openxmlformats.org/officeDocument/2006/relationships/hyperlink" Target="https://coinmarketcap.com/currencies/vertcoin" TargetMode="External"/><Relationship Id="rId189" Type="http://schemas.openxmlformats.org/officeDocument/2006/relationships/hyperlink" Target="https://coinmarketcap.com/currencies/waves-community-token" TargetMode="External"/><Relationship Id="rId396" Type="http://schemas.openxmlformats.org/officeDocument/2006/relationships/hyperlink" Target="https://coinmarketcap.com/currencies/cream" TargetMode="External"/><Relationship Id="rId617" Type="http://schemas.openxmlformats.org/officeDocument/2006/relationships/hyperlink" Target="https://coinmarketcap.com/currencies/kibicoin" TargetMode="External"/><Relationship Id="rId824" Type="http://schemas.openxmlformats.org/officeDocument/2006/relationships/hyperlink" Target="https://coinmarketcap.com/currencies/cashcoin" TargetMode="External"/><Relationship Id="rId256" Type="http://schemas.openxmlformats.org/officeDocument/2006/relationships/hyperlink" Target="https://coinmarketcap.com/currencies/goldcoin" TargetMode="External"/><Relationship Id="rId463" Type="http://schemas.openxmlformats.org/officeDocument/2006/relationships/hyperlink" Target="https://coinmarketcap.com/currencies/chancoin" TargetMode="External"/><Relationship Id="rId670" Type="http://schemas.openxmlformats.org/officeDocument/2006/relationships/hyperlink" Target="https://coinmarketcap.com/currencies/satoshimadness" TargetMode="External"/><Relationship Id="rId1093" Type="http://schemas.openxmlformats.org/officeDocument/2006/relationships/hyperlink" Target="https://coinmarketcap.com/currencies/cbd-crystals" TargetMode="External"/><Relationship Id="rId1107" Type="http://schemas.openxmlformats.org/officeDocument/2006/relationships/hyperlink" Target="https://coinmarketcap.com/currencies/morningstar-payments" TargetMode="External"/><Relationship Id="rId116" Type="http://schemas.openxmlformats.org/officeDocument/2006/relationships/hyperlink" Target="https://coinmarketcap.com/currencies/emercoin" TargetMode="External"/><Relationship Id="rId323" Type="http://schemas.openxmlformats.org/officeDocument/2006/relationships/hyperlink" Target="https://coinmarketcap.com/currencies/nautiluscoin" TargetMode="External"/><Relationship Id="rId530" Type="http://schemas.openxmlformats.org/officeDocument/2006/relationships/hyperlink" Target="https://coinmarketcap.com/currencies/ether-for-the-rest-of-the-world" TargetMode="External"/><Relationship Id="rId768" Type="http://schemas.openxmlformats.org/officeDocument/2006/relationships/hyperlink" Target="https://coinmarketcap.com/currencies/ride-my-car" TargetMode="External"/><Relationship Id="rId975" Type="http://schemas.openxmlformats.org/officeDocument/2006/relationships/hyperlink" Target="https://coinmarketcap.com/currencies/gaycoin" TargetMode="External"/><Relationship Id="rId20" Type="http://schemas.openxmlformats.org/officeDocument/2006/relationships/hyperlink" Target="https://coinmarketcap.com/currencies/steem" TargetMode="External"/><Relationship Id="rId628" Type="http://schemas.openxmlformats.org/officeDocument/2006/relationships/hyperlink" Target="https://coinmarketcap.com/currencies/acoin" TargetMode="External"/><Relationship Id="rId835" Type="http://schemas.openxmlformats.org/officeDocument/2006/relationships/hyperlink" Target="https://coinmarketcap.com/currencies/jobscoin" TargetMode="External"/><Relationship Id="rId225" Type="http://schemas.openxmlformats.org/officeDocument/2006/relationships/hyperlink" Target="https://coinmarketcap.com/currencies/solarcoin" TargetMode="External"/><Relationship Id="rId267" Type="http://schemas.openxmlformats.org/officeDocument/2006/relationships/hyperlink" Target="https://coinmarketcap.com/currencies/dubaicoin-dbix" TargetMode="External"/><Relationship Id="rId432" Type="http://schemas.openxmlformats.org/officeDocument/2006/relationships/hyperlink" Target="https://coinmarketcap.com/currencies/bitasean" TargetMode="External"/><Relationship Id="rId474" Type="http://schemas.openxmlformats.org/officeDocument/2006/relationships/hyperlink" Target="https://coinmarketcap.com/currencies/briacoin" TargetMode="External"/><Relationship Id="rId877" Type="http://schemas.openxmlformats.org/officeDocument/2006/relationships/hyperlink" Target="https://coinmarketcap.com/currencies/pura" TargetMode="External"/><Relationship Id="rId1020" Type="http://schemas.openxmlformats.org/officeDocument/2006/relationships/hyperlink" Target="https://coinmarketcap.com/currencies/landcoin" TargetMode="External"/><Relationship Id="rId1062" Type="http://schemas.openxmlformats.org/officeDocument/2006/relationships/hyperlink" Target="https://coinmarketcap.com/currencies/shacoin" TargetMode="External"/><Relationship Id="rId1118" Type="http://schemas.openxmlformats.org/officeDocument/2006/relationships/hyperlink" Target="https://coinmarketcap.com/currencies/goldpay-coin" TargetMode="External"/><Relationship Id="rId127" Type="http://schemas.openxmlformats.org/officeDocument/2006/relationships/hyperlink" Target="https://coinmarketcap.com/currencies/supernet-unity" TargetMode="External"/><Relationship Id="rId681" Type="http://schemas.openxmlformats.org/officeDocument/2006/relationships/hyperlink" Target="https://coinmarketcap.com/currencies/dollarcoin" TargetMode="External"/><Relationship Id="rId737" Type="http://schemas.openxmlformats.org/officeDocument/2006/relationships/hyperlink" Target="https://coinmarketcap.com/currencies/sixeleven" TargetMode="External"/><Relationship Id="rId779" Type="http://schemas.openxmlformats.org/officeDocument/2006/relationships/hyperlink" Target="https://coinmarketcap.com/currencies/vaperscoin" TargetMode="External"/><Relationship Id="rId902" Type="http://schemas.openxmlformats.org/officeDocument/2006/relationships/hyperlink" Target="https://coinmarketcap.com/currencies/ug-token" TargetMode="External"/><Relationship Id="rId944" Type="http://schemas.openxmlformats.org/officeDocument/2006/relationships/hyperlink" Target="https://coinmarketcap.com/currencies/indorse-token" TargetMode="External"/><Relationship Id="rId986" Type="http://schemas.openxmlformats.org/officeDocument/2006/relationships/hyperlink" Target="https://coinmarketcap.com/currencies/amis" TargetMode="External"/><Relationship Id="rId31" Type="http://schemas.openxmlformats.org/officeDocument/2006/relationships/hyperlink" Target="https://coinmarketcap.com/currencies/komodo" TargetMode="External"/><Relationship Id="rId73" Type="http://schemas.openxmlformats.org/officeDocument/2006/relationships/hyperlink" Target="https://coinmarketcap.com/currencies/dentacoin" TargetMode="External"/><Relationship Id="rId169" Type="http://schemas.openxmlformats.org/officeDocument/2006/relationships/hyperlink" Target="https://coinmarketcap.com/currencies/xplay" TargetMode="External"/><Relationship Id="rId334" Type="http://schemas.openxmlformats.org/officeDocument/2006/relationships/hyperlink" Target="https://coinmarketcap.com/currencies/tao" TargetMode="External"/><Relationship Id="rId376" Type="http://schemas.openxmlformats.org/officeDocument/2006/relationships/hyperlink" Target="https://coinmarketcap.com/currencies/sexcoin" TargetMode="External"/><Relationship Id="rId541" Type="http://schemas.openxmlformats.org/officeDocument/2006/relationships/hyperlink" Target="https://coinmarketcap.com/currencies/das" TargetMode="External"/><Relationship Id="rId583" Type="http://schemas.openxmlformats.org/officeDocument/2006/relationships/hyperlink" Target="https://coinmarketcap.com/currencies/unicoin" TargetMode="External"/><Relationship Id="rId639" Type="http://schemas.openxmlformats.org/officeDocument/2006/relationships/hyperlink" Target="https://coinmarketcap.com/currencies/sterlingcoin" TargetMode="External"/><Relationship Id="rId790" Type="http://schemas.openxmlformats.org/officeDocument/2006/relationships/hyperlink" Target="https://coinmarketcap.com/currencies/dappster" TargetMode="External"/><Relationship Id="rId804" Type="http://schemas.openxmlformats.org/officeDocument/2006/relationships/hyperlink" Target="https://coinmarketcap.com/currencies/shilling" TargetMode="External"/><Relationship Id="rId4" Type="http://schemas.openxmlformats.org/officeDocument/2006/relationships/hyperlink" Target="https://coinmarketcap.com/currencies/litecoin" TargetMode="External"/><Relationship Id="rId180" Type="http://schemas.openxmlformats.org/officeDocument/2006/relationships/hyperlink" Target="https://coinmarketcap.com/currencies/aeon" TargetMode="External"/><Relationship Id="rId236" Type="http://schemas.openxmlformats.org/officeDocument/2006/relationships/hyperlink" Target="https://coinmarketcap.com/currencies/apx" TargetMode="External"/><Relationship Id="rId278" Type="http://schemas.openxmlformats.org/officeDocument/2006/relationships/hyperlink" Target="https://coinmarketcap.com/currencies/visio" TargetMode="External"/><Relationship Id="rId401" Type="http://schemas.openxmlformats.org/officeDocument/2006/relationships/hyperlink" Target="https://coinmarketcap.com/currencies/linx" TargetMode="External"/><Relationship Id="rId443" Type="http://schemas.openxmlformats.org/officeDocument/2006/relationships/hyperlink" Target="https://coinmarketcap.com/currencies/yocoin" TargetMode="External"/><Relationship Id="rId650" Type="http://schemas.openxmlformats.org/officeDocument/2006/relationships/hyperlink" Target="https://coinmarketcap.com/currencies/cypher" TargetMode="External"/><Relationship Id="rId846" Type="http://schemas.openxmlformats.org/officeDocument/2006/relationships/hyperlink" Target="https://coinmarketcap.com/currencies/antilitecoin" TargetMode="External"/><Relationship Id="rId888" Type="http://schemas.openxmlformats.org/officeDocument/2006/relationships/hyperlink" Target="https://coinmarketcap.com/currencies/clubcoin" TargetMode="External"/><Relationship Id="rId1031" Type="http://schemas.openxmlformats.org/officeDocument/2006/relationships/hyperlink" Target="https://coinmarketcap.com/currencies/bitcedi" TargetMode="External"/><Relationship Id="rId1073" Type="http://schemas.openxmlformats.org/officeDocument/2006/relationships/hyperlink" Target="https://coinmarketcap.com/currencies/goldmaxcoin" TargetMode="External"/><Relationship Id="rId303" Type="http://schemas.openxmlformats.org/officeDocument/2006/relationships/hyperlink" Target="https://coinmarketcap.com/currencies/hempcoin" TargetMode="External"/><Relationship Id="rId485" Type="http://schemas.openxmlformats.org/officeDocument/2006/relationships/hyperlink" Target="https://coinmarketcap.com/currencies/ucoin" TargetMode="External"/><Relationship Id="rId692" Type="http://schemas.openxmlformats.org/officeDocument/2006/relationships/hyperlink" Target="https://coinmarketcap.com/currencies/asiadigicoin" TargetMode="External"/><Relationship Id="rId706" Type="http://schemas.openxmlformats.org/officeDocument/2006/relationships/hyperlink" Target="https://coinmarketcap.com/currencies/redcoin" TargetMode="External"/><Relationship Id="rId748" Type="http://schemas.openxmlformats.org/officeDocument/2006/relationships/hyperlink" Target="https://coinmarketcap.com/currencies/warp" TargetMode="External"/><Relationship Id="rId913" Type="http://schemas.openxmlformats.org/officeDocument/2006/relationships/hyperlink" Target="https://coinmarketcap.com/currencies/btcgold" TargetMode="External"/><Relationship Id="rId955" Type="http://schemas.openxmlformats.org/officeDocument/2006/relationships/hyperlink" Target="https://coinmarketcap.com/currencies/stex" TargetMode="External"/><Relationship Id="rId42" Type="http://schemas.openxmlformats.org/officeDocument/2006/relationships/hyperlink" Target="https://coinmarketcap.com/currencies/civic" TargetMode="External"/><Relationship Id="rId84" Type="http://schemas.openxmlformats.org/officeDocument/2006/relationships/hyperlink" Target="https://coinmarketcap.com/currencies/gulden" TargetMode="External"/><Relationship Id="rId138" Type="http://schemas.openxmlformats.org/officeDocument/2006/relationships/hyperlink" Target="https://coinmarketcap.com/currencies/spreadcoin" TargetMode="External"/><Relationship Id="rId345" Type="http://schemas.openxmlformats.org/officeDocument/2006/relationships/hyperlink" Target="https://coinmarketcap.com/currencies/arcticcoin" TargetMode="External"/><Relationship Id="rId387" Type="http://schemas.openxmlformats.org/officeDocument/2006/relationships/hyperlink" Target="https://coinmarketcap.com/currencies/mergecoin" TargetMode="External"/><Relationship Id="rId510" Type="http://schemas.openxmlformats.org/officeDocument/2006/relationships/hyperlink" Target="https://coinmarketcap.com/currencies/ethbits" TargetMode="External"/><Relationship Id="rId552" Type="http://schemas.openxmlformats.org/officeDocument/2006/relationships/hyperlink" Target="https://coinmarketcap.com/currencies/ufo-coin" TargetMode="External"/><Relationship Id="rId594" Type="http://schemas.openxmlformats.org/officeDocument/2006/relationships/hyperlink" Target="https://coinmarketcap.com/currencies/flycoin" TargetMode="External"/><Relationship Id="rId608" Type="http://schemas.openxmlformats.org/officeDocument/2006/relationships/hyperlink" Target="https://coinmarketcap.com/currencies/francs" TargetMode="External"/><Relationship Id="rId815" Type="http://schemas.openxmlformats.org/officeDocument/2006/relationships/hyperlink" Target="https://coinmarketcap.com/currencies/impact" TargetMode="External"/><Relationship Id="rId997" Type="http://schemas.openxmlformats.org/officeDocument/2006/relationships/hyperlink" Target="https://coinmarketcap.com/currencies/teracoin" TargetMode="External"/><Relationship Id="rId191" Type="http://schemas.openxmlformats.org/officeDocument/2006/relationships/hyperlink" Target="https://coinmarketcap.com/currencies/bitsend" TargetMode="External"/><Relationship Id="rId205" Type="http://schemas.openxmlformats.org/officeDocument/2006/relationships/hyperlink" Target="https://coinmarketcap.com/currencies/ecobit" TargetMode="External"/><Relationship Id="rId247" Type="http://schemas.openxmlformats.org/officeDocument/2006/relationships/hyperlink" Target="https://coinmarketcap.com/currencies/embercoin" TargetMode="External"/><Relationship Id="rId412" Type="http://schemas.openxmlformats.org/officeDocument/2006/relationships/hyperlink" Target="https://coinmarketcap.com/currencies/moin" TargetMode="External"/><Relationship Id="rId857" Type="http://schemas.openxmlformats.org/officeDocument/2006/relationships/hyperlink" Target="https://coinmarketcap.com/currencies/ebittree-coin" TargetMode="External"/><Relationship Id="rId899" Type="http://schemas.openxmlformats.org/officeDocument/2006/relationships/hyperlink" Target="https://coinmarketcap.com/currencies/vechain" TargetMode="External"/><Relationship Id="rId1000" Type="http://schemas.openxmlformats.org/officeDocument/2006/relationships/hyperlink" Target="https://coinmarketcap.com/currencies/blazercoin" TargetMode="External"/><Relationship Id="rId1042" Type="http://schemas.openxmlformats.org/officeDocument/2006/relationships/hyperlink" Target="https://coinmarketcap.com/currencies/superturbostake" TargetMode="External"/><Relationship Id="rId1084" Type="http://schemas.openxmlformats.org/officeDocument/2006/relationships/hyperlink" Target="https://coinmarketcap.com/currencies/omicron" TargetMode="External"/><Relationship Id="rId107" Type="http://schemas.openxmlformats.org/officeDocument/2006/relationships/hyperlink" Target="https://coinmarketcap.com/currencies/leocoin" TargetMode="External"/><Relationship Id="rId289" Type="http://schemas.openxmlformats.org/officeDocument/2006/relationships/hyperlink" Target="https://coinmarketcap.com/currencies/atmos" TargetMode="External"/><Relationship Id="rId454" Type="http://schemas.openxmlformats.org/officeDocument/2006/relationships/hyperlink" Target="https://coinmarketcap.com/currencies/tilecoin" TargetMode="External"/><Relationship Id="rId496" Type="http://schemas.openxmlformats.org/officeDocument/2006/relationships/hyperlink" Target="https://coinmarketcap.com/currencies/compcoin" TargetMode="External"/><Relationship Id="rId661" Type="http://schemas.openxmlformats.org/officeDocument/2006/relationships/hyperlink" Target="https://coinmarketcap.com/currencies/sacoin" TargetMode="External"/><Relationship Id="rId717" Type="http://schemas.openxmlformats.org/officeDocument/2006/relationships/hyperlink" Target="https://coinmarketcap.com/currencies/blackstar" TargetMode="External"/><Relationship Id="rId759" Type="http://schemas.openxmlformats.org/officeDocument/2006/relationships/hyperlink" Target="https://coinmarketcap.com/currencies/leacoin" TargetMode="External"/><Relationship Id="rId924" Type="http://schemas.openxmlformats.org/officeDocument/2006/relationships/hyperlink" Target="https://coinmarketcap.com/currencies/nexus-social" TargetMode="External"/><Relationship Id="rId966" Type="http://schemas.openxmlformats.org/officeDocument/2006/relationships/hyperlink" Target="https://coinmarketcap.com/currencies/suretly" TargetMode="External"/><Relationship Id="rId11" Type="http://schemas.openxmlformats.org/officeDocument/2006/relationships/hyperlink" Target="https://coinmarketcap.com/currencies/omisego" TargetMode="External"/><Relationship Id="rId53" Type="http://schemas.openxmlformats.org/officeDocument/2006/relationships/hyperlink" Target="https://coinmarketcap.com/currencies/syscoin" TargetMode="External"/><Relationship Id="rId149" Type="http://schemas.openxmlformats.org/officeDocument/2006/relationships/hyperlink" Target="https://coinmarketcap.com/currencies/potcoin" TargetMode="External"/><Relationship Id="rId314" Type="http://schemas.openxmlformats.org/officeDocument/2006/relationships/hyperlink" Target="https://coinmarketcap.com/currencies/memetic" TargetMode="External"/><Relationship Id="rId356" Type="http://schemas.openxmlformats.org/officeDocument/2006/relationships/hyperlink" Target="https://coinmarketcap.com/currencies/ixcoin" TargetMode="External"/><Relationship Id="rId398" Type="http://schemas.openxmlformats.org/officeDocument/2006/relationships/hyperlink" Target="https://coinmarketcap.com/currencies/wavesgo" TargetMode="External"/><Relationship Id="rId521" Type="http://schemas.openxmlformats.org/officeDocument/2006/relationships/hyperlink" Target="https://coinmarketcap.com/currencies/ultimate-secure-cash" TargetMode="External"/><Relationship Id="rId563" Type="http://schemas.openxmlformats.org/officeDocument/2006/relationships/hyperlink" Target="https://coinmarketcap.com/currencies/dashcoin" TargetMode="External"/><Relationship Id="rId619" Type="http://schemas.openxmlformats.org/officeDocument/2006/relationships/hyperlink" Target="https://coinmarketcap.com/currencies/ohm-wallet" TargetMode="External"/><Relationship Id="rId770" Type="http://schemas.openxmlformats.org/officeDocument/2006/relationships/hyperlink" Target="https://coinmarketcap.com/currencies/tajcoin" TargetMode="External"/><Relationship Id="rId95" Type="http://schemas.openxmlformats.org/officeDocument/2006/relationships/hyperlink" Target="https://coinmarketcap.com/currencies/zcoin" TargetMode="External"/><Relationship Id="rId160" Type="http://schemas.openxmlformats.org/officeDocument/2006/relationships/hyperlink" Target="https://coinmarketcap.com/currencies/zencash" TargetMode="External"/><Relationship Id="rId216" Type="http://schemas.openxmlformats.org/officeDocument/2006/relationships/hyperlink" Target="https://coinmarketcap.com/currencies/eccoin" TargetMode="External"/><Relationship Id="rId423" Type="http://schemas.openxmlformats.org/officeDocument/2006/relationships/hyperlink" Target="https://coinmarketcap.com/currencies/coinonatx" TargetMode="External"/><Relationship Id="rId826" Type="http://schemas.openxmlformats.org/officeDocument/2006/relationships/hyperlink" Target="https://coinmarketcap.com/currencies/cabbage" TargetMode="External"/><Relationship Id="rId868" Type="http://schemas.openxmlformats.org/officeDocument/2006/relationships/hyperlink" Target="https://coinmarketcap.com/currencies/californium" TargetMode="External"/><Relationship Id="rId1011" Type="http://schemas.openxmlformats.org/officeDocument/2006/relationships/hyperlink" Target="https://coinmarketcap.com/currencies/tellurion" TargetMode="External"/><Relationship Id="rId1053" Type="http://schemas.openxmlformats.org/officeDocument/2006/relationships/hyperlink" Target="https://coinmarketcap.com/currencies/cubits" TargetMode="External"/><Relationship Id="rId1109" Type="http://schemas.openxmlformats.org/officeDocument/2006/relationships/hyperlink" Target="https://coinmarketcap.com/currencies/tyrocoin" TargetMode="External"/><Relationship Id="rId258" Type="http://schemas.openxmlformats.org/officeDocument/2006/relationships/hyperlink" Target="https://coinmarketcap.com/currencies/circuits-of-value" TargetMode="External"/><Relationship Id="rId465" Type="http://schemas.openxmlformats.org/officeDocument/2006/relationships/hyperlink" Target="https://coinmarketcap.com/currencies/biblepay" TargetMode="External"/><Relationship Id="rId630" Type="http://schemas.openxmlformats.org/officeDocument/2006/relationships/hyperlink" Target="https://coinmarketcap.com/currencies/kushcoin" TargetMode="External"/><Relationship Id="rId672" Type="http://schemas.openxmlformats.org/officeDocument/2006/relationships/hyperlink" Target="https://coinmarketcap.com/currencies/vector" TargetMode="External"/><Relationship Id="rId728" Type="http://schemas.openxmlformats.org/officeDocument/2006/relationships/hyperlink" Target="https://coinmarketcap.com/currencies/arbit" TargetMode="External"/><Relationship Id="rId935" Type="http://schemas.openxmlformats.org/officeDocument/2006/relationships/hyperlink" Target="https://coinmarketcap.com/currencies/terranova" TargetMode="External"/><Relationship Id="rId1095" Type="http://schemas.openxmlformats.org/officeDocument/2006/relationships/hyperlink" Target="https://coinmarketcap.com/currencies/ocow" TargetMode="External"/><Relationship Id="rId22" Type="http://schemas.openxmlformats.org/officeDocument/2006/relationships/hyperlink" Target="https://coinmarketcap.com/currencies/bytecoin-bcn" TargetMode="External"/><Relationship Id="rId64" Type="http://schemas.openxmlformats.org/officeDocument/2006/relationships/hyperlink" Target="https://coinmarketcap.com/currencies/iocoin" TargetMode="External"/><Relationship Id="rId118" Type="http://schemas.openxmlformats.org/officeDocument/2006/relationships/hyperlink" Target="https://coinmarketcap.com/currencies/sonm" TargetMode="External"/><Relationship Id="rId325" Type="http://schemas.openxmlformats.org/officeDocument/2006/relationships/hyperlink" Target="https://coinmarketcap.com/currencies/trustplus" TargetMode="External"/><Relationship Id="rId367" Type="http://schemas.openxmlformats.org/officeDocument/2006/relationships/hyperlink" Target="https://coinmarketcap.com/currencies/dotcoin" TargetMode="External"/><Relationship Id="rId532" Type="http://schemas.openxmlformats.org/officeDocument/2006/relationships/hyperlink" Target="https://coinmarketcap.com/currencies/shadowcash" TargetMode="External"/><Relationship Id="rId574" Type="http://schemas.openxmlformats.org/officeDocument/2006/relationships/hyperlink" Target="https://coinmarketcap.com/currencies/trumpcoin" TargetMode="External"/><Relationship Id="rId977" Type="http://schemas.openxmlformats.org/officeDocument/2006/relationships/hyperlink" Target="https://coinmarketcap.com/currencies/neptune-classic" TargetMode="External"/><Relationship Id="rId1120" Type="http://schemas.openxmlformats.org/officeDocument/2006/relationships/hyperlink" Target="https://coinmarketcap.com/currencies/ganjacoin" TargetMode="External"/><Relationship Id="rId171" Type="http://schemas.openxmlformats.org/officeDocument/2006/relationships/hyperlink" Target="https://coinmarketcap.com/currencies/peerplays-ppy" TargetMode="External"/><Relationship Id="rId227" Type="http://schemas.openxmlformats.org/officeDocument/2006/relationships/hyperlink" Target="https://coinmarketcap.com/currencies/bitcoin-plus" TargetMode="External"/><Relationship Id="rId781" Type="http://schemas.openxmlformats.org/officeDocument/2006/relationships/hyperlink" Target="https://coinmarketcap.com/currencies/cryptoescudo" TargetMode="External"/><Relationship Id="rId837" Type="http://schemas.openxmlformats.org/officeDocument/2006/relationships/hyperlink" Target="https://coinmarketcap.com/currencies/magnum" TargetMode="External"/><Relationship Id="rId879" Type="http://schemas.openxmlformats.org/officeDocument/2006/relationships/hyperlink" Target="https://coinmarketcap.com/currencies/fargocoin" TargetMode="External"/><Relationship Id="rId1022" Type="http://schemas.openxmlformats.org/officeDocument/2006/relationships/hyperlink" Target="https://coinmarketcap.com/currencies/deltacredits" TargetMode="External"/><Relationship Id="rId269" Type="http://schemas.openxmlformats.org/officeDocument/2006/relationships/hyperlink" Target="https://coinmarketcap.com/currencies/encryptotel" TargetMode="External"/><Relationship Id="rId434" Type="http://schemas.openxmlformats.org/officeDocument/2006/relationships/hyperlink" Target="https://coinmarketcap.com/currencies/atomic-coin" TargetMode="External"/><Relationship Id="rId476" Type="http://schemas.openxmlformats.org/officeDocument/2006/relationships/hyperlink" Target="https://coinmarketcap.com/currencies/eryllium" TargetMode="External"/><Relationship Id="rId641" Type="http://schemas.openxmlformats.org/officeDocument/2006/relationships/hyperlink" Target="https://coinmarketcap.com/currencies/goldreserve" TargetMode="External"/><Relationship Id="rId683" Type="http://schemas.openxmlformats.org/officeDocument/2006/relationships/hyperlink" Target="https://coinmarketcap.com/currencies/catcoin" TargetMode="External"/><Relationship Id="rId739" Type="http://schemas.openxmlformats.org/officeDocument/2006/relationships/hyperlink" Target="https://coinmarketcap.com/currencies/bitzeny" TargetMode="External"/><Relationship Id="rId890" Type="http://schemas.openxmlformats.org/officeDocument/2006/relationships/hyperlink" Target="https://coinmarketcap.com/currencies/lepaoquan" TargetMode="External"/><Relationship Id="rId904" Type="http://schemas.openxmlformats.org/officeDocument/2006/relationships/hyperlink" Target="https://coinmarketcap.com/currencies/wa-space" TargetMode="External"/><Relationship Id="rId1064" Type="http://schemas.openxmlformats.org/officeDocument/2006/relationships/hyperlink" Target="https://coinmarketcap.com/currencies/linkedcoin" TargetMode="External"/><Relationship Id="rId33" Type="http://schemas.openxmlformats.org/officeDocument/2006/relationships/hyperlink" Target="https://coinmarketcap.com/currencies/hshare" TargetMode="External"/><Relationship Id="rId129" Type="http://schemas.openxmlformats.org/officeDocument/2006/relationships/hyperlink" Target="https://coinmarketcap.com/currencies/vslice" TargetMode="External"/><Relationship Id="rId280" Type="http://schemas.openxmlformats.org/officeDocument/2006/relationships/hyperlink" Target="https://coinmarketcap.com/currencies/real-estate-tokens" TargetMode="External"/><Relationship Id="rId336" Type="http://schemas.openxmlformats.org/officeDocument/2006/relationships/hyperlink" Target="https://coinmarketcap.com/currencies/skincoin" TargetMode="External"/><Relationship Id="rId501" Type="http://schemas.openxmlformats.org/officeDocument/2006/relationships/hyperlink" Target="https://coinmarketcap.com/currencies/bitusd" TargetMode="External"/><Relationship Id="rId543" Type="http://schemas.openxmlformats.org/officeDocument/2006/relationships/hyperlink" Target="https://coinmarketcap.com/currencies/metalcoin" TargetMode="External"/><Relationship Id="rId946" Type="http://schemas.openxmlformats.org/officeDocument/2006/relationships/hyperlink" Target="https://coinmarketcap.com/currencies/asiccoin" TargetMode="External"/><Relationship Id="rId988" Type="http://schemas.openxmlformats.org/officeDocument/2006/relationships/hyperlink" Target="https://coinmarketcap.com/currencies/fuda-energy" TargetMode="External"/><Relationship Id="rId75" Type="http://schemas.openxmlformats.org/officeDocument/2006/relationships/hyperlink" Target="https://coinmarketcap.com/currencies/gxshares" TargetMode="External"/><Relationship Id="rId140" Type="http://schemas.openxmlformats.org/officeDocument/2006/relationships/hyperlink" Target="https://coinmarketcap.com/currencies/numeraire" TargetMode="External"/><Relationship Id="rId182" Type="http://schemas.openxmlformats.org/officeDocument/2006/relationships/hyperlink" Target="https://coinmarketcap.com/currencies/greencoin" TargetMode="External"/><Relationship Id="rId378" Type="http://schemas.openxmlformats.org/officeDocument/2006/relationships/hyperlink" Target="https://coinmarketcap.com/currencies/influxcoin" TargetMode="External"/><Relationship Id="rId403" Type="http://schemas.openxmlformats.org/officeDocument/2006/relationships/hyperlink" Target="https://coinmarketcap.com/currencies/unbreakablecoin" TargetMode="External"/><Relationship Id="rId585" Type="http://schemas.openxmlformats.org/officeDocument/2006/relationships/hyperlink" Target="https://coinmarketcap.com/currencies/litebar" TargetMode="External"/><Relationship Id="rId750" Type="http://schemas.openxmlformats.org/officeDocument/2006/relationships/hyperlink" Target="https://coinmarketcap.com/currencies/genstake" TargetMode="External"/><Relationship Id="rId792" Type="http://schemas.openxmlformats.org/officeDocument/2006/relationships/hyperlink" Target="https://coinmarketcap.com/currencies/qibuck-asset" TargetMode="External"/><Relationship Id="rId806" Type="http://schemas.openxmlformats.org/officeDocument/2006/relationships/hyperlink" Target="https://coinmarketcap.com/currencies/virtacoin" TargetMode="External"/><Relationship Id="rId848" Type="http://schemas.openxmlformats.org/officeDocument/2006/relationships/hyperlink" Target="https://coinmarketcap.com/currencies/speedcash" TargetMode="External"/><Relationship Id="rId1033" Type="http://schemas.openxmlformats.org/officeDocument/2006/relationships/hyperlink" Target="https://coinmarketcap.com/currencies/soulcoin" TargetMode="External"/><Relationship Id="rId6" Type="http://schemas.openxmlformats.org/officeDocument/2006/relationships/hyperlink" Target="https://coinmarketcap.com/currencies/nem" TargetMode="External"/><Relationship Id="rId238" Type="http://schemas.openxmlformats.org/officeDocument/2006/relationships/hyperlink" Target="https://coinmarketcap.com/currencies/nvo" TargetMode="External"/><Relationship Id="rId445" Type="http://schemas.openxmlformats.org/officeDocument/2006/relationships/hyperlink" Target="https://coinmarketcap.com/currencies/platinumbar" TargetMode="External"/><Relationship Id="rId487" Type="http://schemas.openxmlformats.org/officeDocument/2006/relationships/hyperlink" Target="https://coinmarketcap.com/currencies/reecoin" TargetMode="External"/><Relationship Id="rId610" Type="http://schemas.openxmlformats.org/officeDocument/2006/relationships/hyperlink" Target="https://coinmarketcap.com/currencies/chesscoin" TargetMode="External"/><Relationship Id="rId652" Type="http://schemas.openxmlformats.org/officeDocument/2006/relationships/hyperlink" Target="https://coinmarketcap.com/currencies/tittiecoin" TargetMode="External"/><Relationship Id="rId694" Type="http://schemas.openxmlformats.org/officeDocument/2006/relationships/hyperlink" Target="https://coinmarketcap.com/currencies/x-coin" TargetMode="External"/><Relationship Id="rId708" Type="http://schemas.openxmlformats.org/officeDocument/2006/relationships/hyperlink" Target="https://coinmarketcap.com/currencies/coinonat" TargetMode="External"/><Relationship Id="rId915" Type="http://schemas.openxmlformats.org/officeDocument/2006/relationships/hyperlink" Target="https://coinmarketcap.com/currencies/alpacoin" TargetMode="External"/><Relationship Id="rId1075" Type="http://schemas.openxmlformats.org/officeDocument/2006/relationships/hyperlink" Target="https://coinmarketcap.com/currencies/maker" TargetMode="External"/><Relationship Id="rId291" Type="http://schemas.openxmlformats.org/officeDocument/2006/relationships/hyperlink" Target="https://coinmarketcap.com/currencies/embers" TargetMode="External"/><Relationship Id="rId305" Type="http://schemas.openxmlformats.org/officeDocument/2006/relationships/hyperlink" Target="https://coinmarketcap.com/currencies/opus" TargetMode="External"/><Relationship Id="rId347" Type="http://schemas.openxmlformats.org/officeDocument/2006/relationships/hyperlink" Target="https://coinmarketcap.com/currencies/hyperstake" TargetMode="External"/><Relationship Id="rId512" Type="http://schemas.openxmlformats.org/officeDocument/2006/relationships/hyperlink" Target="https://coinmarketcap.com/currencies/yashcoin" TargetMode="External"/><Relationship Id="rId957" Type="http://schemas.openxmlformats.org/officeDocument/2006/relationships/hyperlink" Target="https://coinmarketcap.com/currencies/sakuracoin" TargetMode="External"/><Relationship Id="rId999" Type="http://schemas.openxmlformats.org/officeDocument/2006/relationships/hyperlink" Target="https://coinmarketcap.com/currencies/invisiblecoin" TargetMode="External"/><Relationship Id="rId1100" Type="http://schemas.openxmlformats.org/officeDocument/2006/relationships/hyperlink" Target="https://coinmarketcap.com/currencies/dubstep" TargetMode="External"/><Relationship Id="rId44" Type="http://schemas.openxmlformats.org/officeDocument/2006/relationships/hyperlink" Target="https://coinmarketcap.com/currencies/populous" TargetMode="External"/><Relationship Id="rId86" Type="http://schemas.openxmlformats.org/officeDocument/2006/relationships/hyperlink" Target="https://coinmarketcap.com/currencies/pillar" TargetMode="External"/><Relationship Id="rId151" Type="http://schemas.openxmlformats.org/officeDocument/2006/relationships/hyperlink" Target="https://coinmarketcap.com/currencies/shift" TargetMode="External"/><Relationship Id="rId389" Type="http://schemas.openxmlformats.org/officeDocument/2006/relationships/hyperlink" Target="https://coinmarketcap.com/currencies/vsync-vsx" TargetMode="External"/><Relationship Id="rId554" Type="http://schemas.openxmlformats.org/officeDocument/2006/relationships/hyperlink" Target="https://coinmarketcap.com/currencies/falcoin" TargetMode="External"/><Relationship Id="rId596" Type="http://schemas.openxmlformats.org/officeDocument/2006/relationships/hyperlink" Target="https://coinmarketcap.com/currencies/aurumcoin" TargetMode="External"/><Relationship Id="rId761" Type="http://schemas.openxmlformats.org/officeDocument/2006/relationships/hyperlink" Target="https://coinmarketcap.com/currencies/healthywormcoin" TargetMode="External"/><Relationship Id="rId817" Type="http://schemas.openxmlformats.org/officeDocument/2006/relationships/hyperlink" Target="https://coinmarketcap.com/currencies/zonecoin" TargetMode="External"/><Relationship Id="rId859" Type="http://schemas.openxmlformats.org/officeDocument/2006/relationships/hyperlink" Target="https://coinmarketcap.com/currencies/selfiecoin" TargetMode="External"/><Relationship Id="rId1002" Type="http://schemas.openxmlformats.org/officeDocument/2006/relationships/hyperlink" Target="https://coinmarketcap.com/currencies/wink" TargetMode="External"/><Relationship Id="rId193" Type="http://schemas.openxmlformats.org/officeDocument/2006/relationships/hyperlink" Target="https://coinmarketcap.com/currencies/voxels" TargetMode="External"/><Relationship Id="rId207" Type="http://schemas.openxmlformats.org/officeDocument/2006/relationships/hyperlink" Target="https://coinmarketcap.com/currencies/martexcoin" TargetMode="External"/><Relationship Id="rId249" Type="http://schemas.openxmlformats.org/officeDocument/2006/relationships/hyperlink" Target="https://coinmarketcap.com/currencies/blockcat" TargetMode="External"/><Relationship Id="rId414" Type="http://schemas.openxmlformats.org/officeDocument/2006/relationships/hyperlink" Target="https://coinmarketcap.com/currencies/fujicoin" TargetMode="External"/><Relationship Id="rId456" Type="http://schemas.openxmlformats.org/officeDocument/2006/relationships/hyperlink" Target="https://coinmarketcap.com/currencies/kilocoin" TargetMode="External"/><Relationship Id="rId498" Type="http://schemas.openxmlformats.org/officeDocument/2006/relationships/hyperlink" Target="https://coinmarketcap.com/currencies/deeponion" TargetMode="External"/><Relationship Id="rId621" Type="http://schemas.openxmlformats.org/officeDocument/2006/relationships/hyperlink" Target="https://coinmarketcap.com/currencies/usde" TargetMode="External"/><Relationship Id="rId663" Type="http://schemas.openxmlformats.org/officeDocument/2006/relationships/hyperlink" Target="https://coinmarketcap.com/currencies/honey" TargetMode="External"/><Relationship Id="rId870" Type="http://schemas.openxmlformats.org/officeDocument/2006/relationships/hyperlink" Target="https://coinmarketcap.com/currencies/elysium" TargetMode="External"/><Relationship Id="rId1044" Type="http://schemas.openxmlformats.org/officeDocument/2006/relationships/hyperlink" Target="https://coinmarketcap.com/currencies/kashhcoin" TargetMode="External"/><Relationship Id="rId1086" Type="http://schemas.openxmlformats.org/officeDocument/2006/relationships/hyperlink" Target="https://coinmarketcap.com/currencies/peepcoin" TargetMode="External"/><Relationship Id="rId13" Type="http://schemas.openxmlformats.org/officeDocument/2006/relationships/hyperlink" Target="https://coinmarketcap.com/currencies/lisk" TargetMode="External"/><Relationship Id="rId109" Type="http://schemas.openxmlformats.org/officeDocument/2006/relationships/hyperlink" Target="https://coinmarketcap.com/currencies/decent" TargetMode="External"/><Relationship Id="rId260" Type="http://schemas.openxmlformats.org/officeDocument/2006/relationships/hyperlink" Target="https://coinmarketcap.com/currencies/hush" TargetMode="External"/><Relationship Id="rId316" Type="http://schemas.openxmlformats.org/officeDocument/2006/relationships/hyperlink" Target="https://coinmarketcap.com/currencies/fucktoken" TargetMode="External"/><Relationship Id="rId523" Type="http://schemas.openxmlformats.org/officeDocument/2006/relationships/hyperlink" Target="https://coinmarketcap.com/currencies/hitcoin" TargetMode="External"/><Relationship Id="rId719" Type="http://schemas.openxmlformats.org/officeDocument/2006/relationships/hyperlink" Target="https://coinmarketcap.com/currencies/macron" TargetMode="External"/><Relationship Id="rId926" Type="http://schemas.openxmlformats.org/officeDocument/2006/relationships/hyperlink" Target="https://coinmarketcap.com/currencies/bitcoin-unlimited" TargetMode="External"/><Relationship Id="rId968" Type="http://schemas.openxmlformats.org/officeDocument/2006/relationships/hyperlink" Target="https://coinmarketcap.com/currencies/adcoin" TargetMode="External"/><Relationship Id="rId1111" Type="http://schemas.openxmlformats.org/officeDocument/2006/relationships/hyperlink" Target="https://coinmarketcap.com/currencies/zengold" TargetMode="External"/><Relationship Id="rId55" Type="http://schemas.openxmlformats.org/officeDocument/2006/relationships/hyperlink" Target="https://coinmarketcap.com/currencies/lykke" TargetMode="External"/><Relationship Id="rId97" Type="http://schemas.openxmlformats.org/officeDocument/2006/relationships/hyperlink" Target="https://coinmarketcap.com/currencies/viacoin" TargetMode="External"/><Relationship Id="rId120" Type="http://schemas.openxmlformats.org/officeDocument/2006/relationships/hyperlink" Target="https://coinmarketcap.com/currencies/the-champcoin" TargetMode="External"/><Relationship Id="rId358" Type="http://schemas.openxmlformats.org/officeDocument/2006/relationships/hyperlink" Target="https://coinmarketcap.com/currencies/carboncoin" TargetMode="External"/><Relationship Id="rId565" Type="http://schemas.openxmlformats.org/officeDocument/2006/relationships/hyperlink" Target="https://coinmarketcap.com/currencies/the-cypherfunks" TargetMode="External"/><Relationship Id="rId730" Type="http://schemas.openxmlformats.org/officeDocument/2006/relationships/hyperlink" Target="https://coinmarketcap.com/currencies/plncoin" TargetMode="External"/><Relationship Id="rId772" Type="http://schemas.openxmlformats.org/officeDocument/2006/relationships/hyperlink" Target="https://coinmarketcap.com/currencies/tagrcoin" TargetMode="External"/><Relationship Id="rId828" Type="http://schemas.openxmlformats.org/officeDocument/2006/relationships/hyperlink" Target="https://coinmarketcap.com/currencies/crtcoin" TargetMode="External"/><Relationship Id="rId1013" Type="http://schemas.openxmlformats.org/officeDocument/2006/relationships/hyperlink" Target="https://coinmarketcap.com/currencies/birds" TargetMode="External"/><Relationship Id="rId162" Type="http://schemas.openxmlformats.org/officeDocument/2006/relationships/hyperlink" Target="https://coinmarketcap.com/currencies/rubycoin" TargetMode="External"/><Relationship Id="rId218" Type="http://schemas.openxmlformats.org/officeDocument/2006/relationships/hyperlink" Target="https://coinmarketcap.com/currencies/creditbit" TargetMode="External"/><Relationship Id="rId425" Type="http://schemas.openxmlformats.org/officeDocument/2006/relationships/hyperlink" Target="https://coinmarketcap.com/currencies/petrodollar" TargetMode="External"/><Relationship Id="rId467" Type="http://schemas.openxmlformats.org/officeDocument/2006/relationships/hyperlink" Target="https://coinmarketcap.com/currencies/guccionecoin" TargetMode="External"/><Relationship Id="rId632" Type="http://schemas.openxmlformats.org/officeDocument/2006/relationships/hyperlink" Target="https://coinmarketcap.com/currencies/gameunits" TargetMode="External"/><Relationship Id="rId1055" Type="http://schemas.openxmlformats.org/officeDocument/2006/relationships/hyperlink" Target="https://coinmarketcap.com/currencies/royalcoin" TargetMode="External"/><Relationship Id="rId1097" Type="http://schemas.openxmlformats.org/officeDocument/2006/relationships/hyperlink" Target="https://coinmarketcap.com/currencies/pokecoin" TargetMode="External"/><Relationship Id="rId271" Type="http://schemas.openxmlformats.org/officeDocument/2006/relationships/hyperlink" Target="https://coinmarketcap.com/currencies/posw-coin" TargetMode="External"/><Relationship Id="rId674" Type="http://schemas.openxmlformats.org/officeDocument/2006/relationships/hyperlink" Target="https://coinmarketcap.com/currencies/soilcoin" TargetMode="External"/><Relationship Id="rId881" Type="http://schemas.openxmlformats.org/officeDocument/2006/relationships/hyperlink" Target="https://coinmarketcap.com/currencies/mcap" TargetMode="External"/><Relationship Id="rId937" Type="http://schemas.openxmlformats.org/officeDocument/2006/relationships/hyperlink" Target="https://coinmarketcap.com/currencies/edrcoin" TargetMode="External"/><Relationship Id="rId979" Type="http://schemas.openxmlformats.org/officeDocument/2006/relationships/hyperlink" Target="https://coinmarketcap.com/currencies/avatarcoin" TargetMode="External"/><Relationship Id="rId1122" Type="http://schemas.openxmlformats.org/officeDocument/2006/relationships/hyperlink" Target="https://coinmarketcap.com/currencies/president-sanders" TargetMode="External"/><Relationship Id="rId24" Type="http://schemas.openxmlformats.org/officeDocument/2006/relationships/hyperlink" Target="https://coinmarketcap.com/currencies/eos" TargetMode="External"/><Relationship Id="rId66" Type="http://schemas.openxmlformats.org/officeDocument/2006/relationships/hyperlink" Target="https://coinmarketcap.com/currencies/nxt" TargetMode="External"/><Relationship Id="rId131" Type="http://schemas.openxmlformats.org/officeDocument/2006/relationships/hyperlink" Target="https://coinmarketcap.com/currencies/bitbay" TargetMode="External"/><Relationship Id="rId327" Type="http://schemas.openxmlformats.org/officeDocument/2006/relationships/hyperlink" Target="https://coinmarketcap.com/currencies/oceanlab" TargetMode="External"/><Relationship Id="rId369" Type="http://schemas.openxmlformats.org/officeDocument/2006/relationships/hyperlink" Target="https://coinmarketcap.com/currencies/eot-token" TargetMode="External"/><Relationship Id="rId534" Type="http://schemas.openxmlformats.org/officeDocument/2006/relationships/hyperlink" Target="https://coinmarketcap.com/currencies/teslacoin" TargetMode="External"/><Relationship Id="rId576" Type="http://schemas.openxmlformats.org/officeDocument/2006/relationships/hyperlink" Target="https://coinmarketcap.com/currencies/universal-currency" TargetMode="External"/><Relationship Id="rId741" Type="http://schemas.openxmlformats.org/officeDocument/2006/relationships/hyperlink" Target="https://coinmarketcap.com/currencies/benjirolls" TargetMode="External"/><Relationship Id="rId783" Type="http://schemas.openxmlformats.org/officeDocument/2006/relationships/hyperlink" Target="https://coinmarketcap.com/currencies/artex-coin" TargetMode="External"/><Relationship Id="rId839" Type="http://schemas.openxmlformats.org/officeDocument/2006/relationships/hyperlink" Target="https://coinmarketcap.com/currencies/biobar" TargetMode="External"/><Relationship Id="rId990" Type="http://schemas.openxmlformats.org/officeDocument/2006/relationships/hyperlink" Target="https://coinmarketcap.com/currencies/goldunioncoin" TargetMode="External"/><Relationship Id="rId173" Type="http://schemas.openxmlformats.org/officeDocument/2006/relationships/hyperlink" Target="https://coinmarketcap.com/currencies/investfeed" TargetMode="External"/><Relationship Id="rId229" Type="http://schemas.openxmlformats.org/officeDocument/2006/relationships/hyperlink" Target="https://coinmarketcap.com/currencies/sequence" TargetMode="External"/><Relationship Id="rId380" Type="http://schemas.openxmlformats.org/officeDocument/2006/relationships/hyperlink" Target="https://coinmarketcap.com/currencies/digital-developers-fund" TargetMode="External"/><Relationship Id="rId436" Type="http://schemas.openxmlformats.org/officeDocument/2006/relationships/hyperlink" Target="https://coinmarketcap.com/currencies/solaris" TargetMode="External"/><Relationship Id="rId601" Type="http://schemas.openxmlformats.org/officeDocument/2006/relationships/hyperlink" Target="https://coinmarketcap.com/currencies/slimcoin" TargetMode="External"/><Relationship Id="rId643" Type="http://schemas.openxmlformats.org/officeDocument/2006/relationships/hyperlink" Target="https://coinmarketcap.com/currencies/freicoin" TargetMode="External"/><Relationship Id="rId1024" Type="http://schemas.openxmlformats.org/officeDocument/2006/relationships/hyperlink" Target="https://coinmarketcap.com/currencies/quebecoin" TargetMode="External"/><Relationship Id="rId1066" Type="http://schemas.openxmlformats.org/officeDocument/2006/relationships/hyperlink" Target="https://coinmarketcap.com/currencies/mmxvi" TargetMode="External"/><Relationship Id="rId240" Type="http://schemas.openxmlformats.org/officeDocument/2006/relationships/hyperlink" Target="https://coinmarketcap.com/currencies/vcash" TargetMode="External"/><Relationship Id="rId478" Type="http://schemas.openxmlformats.org/officeDocument/2006/relationships/hyperlink" Target="https://coinmarketcap.com/currencies/droxne" TargetMode="External"/><Relationship Id="rId685" Type="http://schemas.openxmlformats.org/officeDocument/2006/relationships/hyperlink" Target="https://coinmarketcap.com/currencies/putin-classic" TargetMode="External"/><Relationship Id="rId850" Type="http://schemas.openxmlformats.org/officeDocument/2006/relationships/hyperlink" Target="https://coinmarketcap.com/currencies/bitvolt" TargetMode="External"/><Relationship Id="rId892" Type="http://schemas.openxmlformats.org/officeDocument/2006/relationships/hyperlink" Target="https://coinmarketcap.com/currencies/bagcoin" TargetMode="External"/><Relationship Id="rId906" Type="http://schemas.openxmlformats.org/officeDocument/2006/relationships/hyperlink" Target="https://coinmarketcap.com/currencies/deuscoin" TargetMode="External"/><Relationship Id="rId948" Type="http://schemas.openxmlformats.org/officeDocument/2006/relationships/hyperlink" Target="https://coinmarketcap.com/currencies/stronghands" TargetMode="External"/><Relationship Id="rId35" Type="http://schemas.openxmlformats.org/officeDocument/2006/relationships/hyperlink" Target="https://coinmarketcap.com/currencies/nexus" TargetMode="External"/><Relationship Id="rId77" Type="http://schemas.openxmlformats.org/officeDocument/2006/relationships/hyperlink" Target="https://coinmarketcap.com/currencies/cofound-it" TargetMode="External"/><Relationship Id="rId100" Type="http://schemas.openxmlformats.org/officeDocument/2006/relationships/hyperlink" Target="https://coinmarketcap.com/currencies/loopring" TargetMode="External"/><Relationship Id="rId282" Type="http://schemas.openxmlformats.org/officeDocument/2006/relationships/hyperlink" Target="https://coinmarketcap.com/currencies/dynamic" TargetMode="External"/><Relationship Id="rId338" Type="http://schemas.openxmlformats.org/officeDocument/2006/relationships/hyperlink" Target="https://coinmarketcap.com/currencies/riecoin" TargetMode="External"/><Relationship Id="rId503" Type="http://schemas.openxmlformats.org/officeDocument/2006/relationships/hyperlink" Target="https://coinmarketcap.com/currencies/pangea-poker" TargetMode="External"/><Relationship Id="rId545" Type="http://schemas.openxmlformats.org/officeDocument/2006/relationships/hyperlink" Target="https://coinmarketcap.com/currencies/noblecoin" TargetMode="External"/><Relationship Id="rId587" Type="http://schemas.openxmlformats.org/officeDocument/2006/relationships/hyperlink" Target="https://coinmarketcap.com/currencies/thegcccoin" TargetMode="External"/><Relationship Id="rId710" Type="http://schemas.openxmlformats.org/officeDocument/2006/relationships/hyperlink" Target="https://coinmarketcap.com/currencies/bitcoin-21" TargetMode="External"/><Relationship Id="rId752" Type="http://schemas.openxmlformats.org/officeDocument/2006/relationships/hyperlink" Target="https://coinmarketcap.com/currencies/allion" TargetMode="External"/><Relationship Id="rId808" Type="http://schemas.openxmlformats.org/officeDocument/2006/relationships/hyperlink" Target="https://coinmarketcap.com/currencies/frazcoin" TargetMode="External"/><Relationship Id="rId8" Type="http://schemas.openxmlformats.org/officeDocument/2006/relationships/hyperlink" Target="https://coinmarketcap.com/currencies/monero" TargetMode="External"/><Relationship Id="rId142" Type="http://schemas.openxmlformats.org/officeDocument/2006/relationships/hyperlink" Target="https://coinmarketcap.com/currencies/safe-exchange-coin" TargetMode="External"/><Relationship Id="rId184" Type="http://schemas.openxmlformats.org/officeDocument/2006/relationships/hyperlink" Target="https://coinmarketcap.com/currencies/neoscoin" TargetMode="External"/><Relationship Id="rId391" Type="http://schemas.openxmlformats.org/officeDocument/2006/relationships/hyperlink" Target="https://coinmarketcap.com/currencies/iticoin" TargetMode="External"/><Relationship Id="rId405" Type="http://schemas.openxmlformats.org/officeDocument/2006/relationships/hyperlink" Target="https://coinmarketcap.com/currencies/virtacoinplus" TargetMode="External"/><Relationship Id="rId447" Type="http://schemas.openxmlformats.org/officeDocument/2006/relationships/hyperlink" Target="https://coinmarketcap.com/currencies/virta-unique-coin" TargetMode="External"/><Relationship Id="rId612" Type="http://schemas.openxmlformats.org/officeDocument/2006/relationships/hyperlink" Target="https://coinmarketcap.com/currencies/bitcoin-scrypt" TargetMode="External"/><Relationship Id="rId794" Type="http://schemas.openxmlformats.org/officeDocument/2006/relationships/hyperlink" Target="https://coinmarketcap.com/currencies/cryptoworldx-token" TargetMode="External"/><Relationship Id="rId1035" Type="http://schemas.openxmlformats.org/officeDocument/2006/relationships/hyperlink" Target="https://coinmarketcap.com/currencies/bitalphacoin" TargetMode="External"/><Relationship Id="rId1077" Type="http://schemas.openxmlformats.org/officeDocument/2006/relationships/hyperlink" Target="https://coinmarketcap.com/currencies/tattoocoin-limited" TargetMode="External"/><Relationship Id="rId251" Type="http://schemas.openxmlformats.org/officeDocument/2006/relationships/hyperlink" Target="https://coinmarketcap.com/currencies/applebyte" TargetMode="External"/><Relationship Id="rId489" Type="http://schemas.openxmlformats.org/officeDocument/2006/relationships/hyperlink" Target="https://coinmarketcap.com/currencies/eb3-coin" TargetMode="External"/><Relationship Id="rId654" Type="http://schemas.openxmlformats.org/officeDocument/2006/relationships/hyperlink" Target="https://coinmarketcap.com/currencies/quazarcoin" TargetMode="External"/><Relationship Id="rId696" Type="http://schemas.openxmlformats.org/officeDocument/2006/relationships/hyperlink" Target="https://coinmarketcap.com/currencies/rimbit" TargetMode="External"/><Relationship Id="rId861" Type="http://schemas.openxmlformats.org/officeDocument/2006/relationships/hyperlink" Target="https://coinmarketcap.com/currencies/ulatech" TargetMode="External"/><Relationship Id="rId917" Type="http://schemas.openxmlformats.org/officeDocument/2006/relationships/hyperlink" Target="https://coinmarketcap.com/currencies/quotient" TargetMode="External"/><Relationship Id="rId959" Type="http://schemas.openxmlformats.org/officeDocument/2006/relationships/hyperlink" Target="https://coinmarketcap.com/currencies/t-coin" TargetMode="External"/><Relationship Id="rId1102" Type="http://schemas.openxmlformats.org/officeDocument/2006/relationships/hyperlink" Target="https://coinmarketcap.com/currencies/richcoin" TargetMode="External"/><Relationship Id="rId46" Type="http://schemas.openxmlformats.org/officeDocument/2006/relationships/hyperlink" Target="https://coinmarketcap.com/currencies/gnosis-gno" TargetMode="External"/><Relationship Id="rId293" Type="http://schemas.openxmlformats.org/officeDocument/2006/relationships/hyperlink" Target="https://coinmarketcap.com/currencies/startcoin" TargetMode="External"/><Relationship Id="rId307" Type="http://schemas.openxmlformats.org/officeDocument/2006/relationships/hyperlink" Target="https://coinmarketcap.com/currencies/2give" TargetMode="External"/><Relationship Id="rId349" Type="http://schemas.openxmlformats.org/officeDocument/2006/relationships/hyperlink" Target="https://coinmarketcap.com/currencies/starcredits" TargetMode="External"/><Relationship Id="rId514" Type="http://schemas.openxmlformats.org/officeDocument/2006/relationships/hyperlink" Target="https://coinmarketcap.com/currencies/adshares" TargetMode="External"/><Relationship Id="rId556" Type="http://schemas.openxmlformats.org/officeDocument/2006/relationships/hyperlink" Target="https://coinmarketcap.com/currencies/supercoin" TargetMode="External"/><Relationship Id="rId721" Type="http://schemas.openxmlformats.org/officeDocument/2006/relationships/hyperlink" Target="https://coinmarketcap.com/currencies/gold-pressed-latinum" TargetMode="External"/><Relationship Id="rId763" Type="http://schemas.openxmlformats.org/officeDocument/2006/relationships/hyperlink" Target="https://coinmarketcap.com/currencies/zayedcoin" TargetMode="External"/><Relationship Id="rId88" Type="http://schemas.openxmlformats.org/officeDocument/2006/relationships/hyperlink" Target="https://coinmarketcap.com/currencies/elastic" TargetMode="External"/><Relationship Id="rId111" Type="http://schemas.openxmlformats.org/officeDocument/2006/relationships/hyperlink" Target="https://coinmarketcap.com/currencies/counterparty" TargetMode="External"/><Relationship Id="rId153" Type="http://schemas.openxmlformats.org/officeDocument/2006/relationships/hyperlink" Target="https://coinmarketcap.com/currencies/digitalnote" TargetMode="External"/><Relationship Id="rId195" Type="http://schemas.openxmlformats.org/officeDocument/2006/relationships/hyperlink" Target="https://coinmarketcap.com/currencies/e-dinar-coin" TargetMode="External"/><Relationship Id="rId209" Type="http://schemas.openxmlformats.org/officeDocument/2006/relationships/hyperlink" Target="https://coinmarketcap.com/currencies/sphere" TargetMode="External"/><Relationship Id="rId360" Type="http://schemas.openxmlformats.org/officeDocument/2006/relationships/hyperlink" Target="https://coinmarketcap.com/currencies/insanecoin-insn" TargetMode="External"/><Relationship Id="rId416" Type="http://schemas.openxmlformats.org/officeDocument/2006/relationships/hyperlink" Target="https://coinmarketcap.com/currencies/roulettetoken" TargetMode="External"/><Relationship Id="rId598" Type="http://schemas.openxmlformats.org/officeDocument/2006/relationships/hyperlink" Target="https://coinmarketcap.com/currencies/lottocoin" TargetMode="External"/><Relationship Id="rId819" Type="http://schemas.openxmlformats.org/officeDocument/2006/relationships/hyperlink" Target="https://coinmarketcap.com/currencies/coin" TargetMode="External"/><Relationship Id="rId970" Type="http://schemas.openxmlformats.org/officeDocument/2006/relationships/hyperlink" Target="https://coinmarketcap.com/currencies/ur" TargetMode="External"/><Relationship Id="rId1004" Type="http://schemas.openxmlformats.org/officeDocument/2006/relationships/hyperlink" Target="https://coinmarketcap.com/currencies/lepen" TargetMode="External"/><Relationship Id="rId1046" Type="http://schemas.openxmlformats.org/officeDocument/2006/relationships/hyperlink" Target="https://coinmarketcap.com/currencies/moneta2" TargetMode="External"/><Relationship Id="rId220" Type="http://schemas.openxmlformats.org/officeDocument/2006/relationships/hyperlink" Target="https://coinmarketcap.com/currencies/incent" TargetMode="External"/><Relationship Id="rId458" Type="http://schemas.openxmlformats.org/officeDocument/2006/relationships/hyperlink" Target="https://coinmarketcap.com/currencies/digitalcoin" TargetMode="External"/><Relationship Id="rId623" Type="http://schemas.openxmlformats.org/officeDocument/2006/relationships/hyperlink" Target="https://coinmarketcap.com/currencies/hodlcoin" TargetMode="External"/><Relationship Id="rId665" Type="http://schemas.openxmlformats.org/officeDocument/2006/relationships/hyperlink" Target="https://coinmarketcap.com/currencies/bigup" TargetMode="External"/><Relationship Id="rId830" Type="http://schemas.openxmlformats.org/officeDocument/2006/relationships/hyperlink" Target="https://coinmarketcap.com/currencies/coimatic-2" TargetMode="External"/><Relationship Id="rId872" Type="http://schemas.openxmlformats.org/officeDocument/2006/relationships/hyperlink" Target="https://coinmarketcap.com/currencies/digital-money-bits" TargetMode="External"/><Relationship Id="rId928" Type="http://schemas.openxmlformats.org/officeDocument/2006/relationships/hyperlink" Target="https://coinmarketcap.com/currencies/fibocoins" TargetMode="External"/><Relationship Id="rId1088" Type="http://schemas.openxmlformats.org/officeDocument/2006/relationships/hyperlink" Target="https://coinmarketcap.com/currencies/sportscoin" TargetMode="External"/><Relationship Id="rId15" Type="http://schemas.openxmlformats.org/officeDocument/2006/relationships/hyperlink" Target="https://coinmarketcap.com/currencies/stratis" TargetMode="External"/><Relationship Id="rId57" Type="http://schemas.openxmlformats.org/officeDocument/2006/relationships/hyperlink" Target="https://coinmarketcap.com/currencies/bancor" TargetMode="External"/><Relationship Id="rId262" Type="http://schemas.openxmlformats.org/officeDocument/2006/relationships/hyperlink" Target="https://coinmarketcap.com/currencies/equitrader" TargetMode="External"/><Relationship Id="rId318" Type="http://schemas.openxmlformats.org/officeDocument/2006/relationships/hyperlink" Target="https://coinmarketcap.com/currencies/crave" TargetMode="External"/><Relationship Id="rId525" Type="http://schemas.openxmlformats.org/officeDocument/2006/relationships/hyperlink" Target="https://coinmarketcap.com/currencies/emoneypower" TargetMode="External"/><Relationship Id="rId567" Type="http://schemas.openxmlformats.org/officeDocument/2006/relationships/hyperlink" Target="https://coinmarketcap.com/currencies/veltor" TargetMode="External"/><Relationship Id="rId732" Type="http://schemas.openxmlformats.org/officeDocument/2006/relationships/hyperlink" Target="https://coinmarketcap.com/currencies/useless-ethereum-token" TargetMode="External"/><Relationship Id="rId1113" Type="http://schemas.openxmlformats.org/officeDocument/2006/relationships/hyperlink" Target="https://coinmarketcap.com/currencies/bitcentavo" TargetMode="External"/><Relationship Id="rId99" Type="http://schemas.openxmlformats.org/officeDocument/2006/relationships/hyperlink" Target="https://coinmarketcap.com/currencies/adx-net" TargetMode="External"/><Relationship Id="rId122" Type="http://schemas.openxmlformats.org/officeDocument/2006/relationships/hyperlink" Target="https://coinmarketcap.com/currencies/round" TargetMode="External"/><Relationship Id="rId164" Type="http://schemas.openxmlformats.org/officeDocument/2006/relationships/hyperlink" Target="https://coinmarketcap.com/currencies/energycoin" TargetMode="External"/><Relationship Id="rId371" Type="http://schemas.openxmlformats.org/officeDocument/2006/relationships/hyperlink" Target="https://coinmarketcap.com/currencies/sumokoin" TargetMode="External"/><Relationship Id="rId774" Type="http://schemas.openxmlformats.org/officeDocument/2006/relationships/hyperlink" Target="https://coinmarketcap.com/currencies/wallet-builders-coin" TargetMode="External"/><Relationship Id="rId981" Type="http://schemas.openxmlformats.org/officeDocument/2006/relationships/hyperlink" Target="https://coinmarketcap.com/currencies/paypeer" TargetMode="External"/><Relationship Id="rId1015" Type="http://schemas.openxmlformats.org/officeDocument/2006/relationships/hyperlink" Target="https://coinmarketcap.com/currencies/opal" TargetMode="External"/><Relationship Id="rId1057" Type="http://schemas.openxmlformats.org/officeDocument/2006/relationships/hyperlink" Target="https://coinmarketcap.com/currencies/royalties" TargetMode="External"/><Relationship Id="rId427" Type="http://schemas.openxmlformats.org/officeDocument/2006/relationships/hyperlink" Target="https://coinmarketcap.com/currencies/zccoin" TargetMode="External"/><Relationship Id="rId469" Type="http://schemas.openxmlformats.org/officeDocument/2006/relationships/hyperlink" Target="https://coinmarketcap.com/currencies/300-token" TargetMode="External"/><Relationship Id="rId634" Type="http://schemas.openxmlformats.org/officeDocument/2006/relationships/hyperlink" Target="https://coinmarketcap.com/currencies/nyancoin" TargetMode="External"/><Relationship Id="rId676" Type="http://schemas.openxmlformats.org/officeDocument/2006/relationships/hyperlink" Target="https://coinmarketcap.com/currencies/c-bit" TargetMode="External"/><Relationship Id="rId841" Type="http://schemas.openxmlformats.org/officeDocument/2006/relationships/hyperlink" Target="https://coinmarketcap.com/currencies/project-x" TargetMode="External"/><Relationship Id="rId883" Type="http://schemas.openxmlformats.org/officeDocument/2006/relationships/hyperlink" Target="https://coinmarketcap.com/currencies/techshares" TargetMode="External"/><Relationship Id="rId1099" Type="http://schemas.openxmlformats.org/officeDocument/2006/relationships/hyperlink" Target="https://coinmarketcap.com/currencies/lathaan" TargetMode="External"/><Relationship Id="rId26" Type="http://schemas.openxmlformats.org/officeDocument/2006/relationships/hyperlink" Target="https://coinmarketcap.com/currencies/basic-attention-token" TargetMode="External"/><Relationship Id="rId231" Type="http://schemas.openxmlformats.org/officeDocument/2006/relationships/hyperlink" Target="https://coinmarketcap.com/currencies/darcrus" TargetMode="External"/><Relationship Id="rId273" Type="http://schemas.openxmlformats.org/officeDocument/2006/relationships/hyperlink" Target="https://coinmarketcap.com/currencies/jinn" TargetMode="External"/><Relationship Id="rId329" Type="http://schemas.openxmlformats.org/officeDocument/2006/relationships/hyperlink" Target="https://coinmarketcap.com/currencies/voise" TargetMode="External"/><Relationship Id="rId480" Type="http://schemas.openxmlformats.org/officeDocument/2006/relationships/hyperlink" Target="https://coinmarketcap.com/currencies/kronecoin" TargetMode="External"/><Relationship Id="rId536" Type="http://schemas.openxmlformats.org/officeDocument/2006/relationships/hyperlink" Target="https://coinmarketcap.com/currencies/coeval" TargetMode="External"/><Relationship Id="rId701" Type="http://schemas.openxmlformats.org/officeDocument/2006/relationships/hyperlink" Target="https://coinmarketcap.com/currencies/prcoin" TargetMode="External"/><Relationship Id="rId939" Type="http://schemas.openxmlformats.org/officeDocument/2006/relationships/hyperlink" Target="https://coinmarketcap.com/currencies/bubble" TargetMode="External"/><Relationship Id="rId1124" Type="http://schemas.openxmlformats.org/officeDocument/2006/relationships/drawing" Target="../drawings/drawing2.xml"/><Relationship Id="rId68" Type="http://schemas.openxmlformats.org/officeDocument/2006/relationships/hyperlink" Target="https://coinmarketcap.com/currencies/bitquence" TargetMode="External"/><Relationship Id="rId133" Type="http://schemas.openxmlformats.org/officeDocument/2006/relationships/hyperlink" Target="https://coinmarketcap.com/currencies/namecoin" TargetMode="External"/><Relationship Id="rId175" Type="http://schemas.openxmlformats.org/officeDocument/2006/relationships/hyperlink" Target="https://coinmarketcap.com/currencies/chronobank" TargetMode="External"/><Relationship Id="rId340" Type="http://schemas.openxmlformats.org/officeDocument/2006/relationships/hyperlink" Target="https://coinmarketcap.com/currencies/parkbyte" TargetMode="External"/><Relationship Id="rId578" Type="http://schemas.openxmlformats.org/officeDocument/2006/relationships/hyperlink" Target="https://coinmarketcap.com/currencies/piggycoin" TargetMode="External"/><Relationship Id="rId743" Type="http://schemas.openxmlformats.org/officeDocument/2006/relationships/hyperlink" Target="https://coinmarketcap.com/currencies/uro" TargetMode="External"/><Relationship Id="rId785" Type="http://schemas.openxmlformats.org/officeDocument/2006/relationships/hyperlink" Target="https://coinmarketcap.com/currencies/gamebet-coin" TargetMode="External"/><Relationship Id="rId950" Type="http://schemas.openxmlformats.org/officeDocument/2006/relationships/hyperlink" Target="https://coinmarketcap.com/currencies/leviarcoin" TargetMode="External"/><Relationship Id="rId992" Type="http://schemas.openxmlformats.org/officeDocument/2006/relationships/hyperlink" Target="https://coinmarketcap.com/currencies/snakeeyes" TargetMode="External"/><Relationship Id="rId1026" Type="http://schemas.openxmlformats.org/officeDocument/2006/relationships/hyperlink" Target="https://coinmarketcap.com/currencies/digital-bullion-gold" TargetMode="External"/><Relationship Id="rId200" Type="http://schemas.openxmlformats.org/officeDocument/2006/relationships/hyperlink" Target="https://coinmarketcap.com/currencies/mooncoin" TargetMode="External"/><Relationship Id="rId382" Type="http://schemas.openxmlformats.org/officeDocument/2006/relationships/hyperlink" Target="https://coinmarketcap.com/currencies/fimkrypto" TargetMode="External"/><Relationship Id="rId438" Type="http://schemas.openxmlformats.org/officeDocument/2006/relationships/hyperlink" Target="https://coinmarketcap.com/currencies/idice" TargetMode="External"/><Relationship Id="rId603" Type="http://schemas.openxmlformats.org/officeDocument/2006/relationships/hyperlink" Target="https://coinmarketcap.com/currencies/bottlecaps" TargetMode="External"/><Relationship Id="rId645" Type="http://schemas.openxmlformats.org/officeDocument/2006/relationships/hyperlink" Target="https://coinmarketcap.com/currencies/swagbucks" TargetMode="External"/><Relationship Id="rId687" Type="http://schemas.openxmlformats.org/officeDocument/2006/relationships/hyperlink" Target="https://coinmarketcap.com/currencies/islacoin" TargetMode="External"/><Relationship Id="rId810" Type="http://schemas.openxmlformats.org/officeDocument/2006/relationships/hyperlink" Target="https://coinmarketcap.com/currencies/dpay" TargetMode="External"/><Relationship Id="rId852" Type="http://schemas.openxmlformats.org/officeDocument/2006/relationships/hyperlink" Target="https://coinmarketcap.com/currencies/revenu" TargetMode="External"/><Relationship Id="rId908" Type="http://schemas.openxmlformats.org/officeDocument/2006/relationships/hyperlink" Target="https://coinmarketcap.com/currencies/masternodecoin" TargetMode="External"/><Relationship Id="rId1068" Type="http://schemas.openxmlformats.org/officeDocument/2006/relationships/hyperlink" Target="https://coinmarketcap.com/currencies/primulon" TargetMode="External"/><Relationship Id="rId242" Type="http://schemas.openxmlformats.org/officeDocument/2006/relationships/hyperlink" Target="https://coinmarketcap.com/currencies/heat-ledger" TargetMode="External"/><Relationship Id="rId284" Type="http://schemas.openxmlformats.org/officeDocument/2006/relationships/hyperlink" Target="https://coinmarketcap.com/currencies/myriad" TargetMode="External"/><Relationship Id="rId491" Type="http://schemas.openxmlformats.org/officeDocument/2006/relationships/hyperlink" Target="https://coinmarketcap.com/currencies/atc-coin" TargetMode="External"/><Relationship Id="rId505" Type="http://schemas.openxmlformats.org/officeDocument/2006/relationships/hyperlink" Target="https://coinmarketcap.com/currencies/bitland" TargetMode="External"/><Relationship Id="rId712" Type="http://schemas.openxmlformats.org/officeDocument/2006/relationships/hyperlink" Target="https://coinmarketcap.com/currencies/tristar-coin" TargetMode="External"/><Relationship Id="rId894" Type="http://schemas.openxmlformats.org/officeDocument/2006/relationships/hyperlink" Target="https://coinmarketcap.com/currencies/bitcloud" TargetMode="External"/><Relationship Id="rId37" Type="http://schemas.openxmlformats.org/officeDocument/2006/relationships/hyperlink" Target="https://coinmarketcap.com/currencies/factom" TargetMode="External"/><Relationship Id="rId79" Type="http://schemas.openxmlformats.org/officeDocument/2006/relationships/hyperlink" Target="https://coinmarketcap.com/currencies/mobilego" TargetMode="External"/><Relationship Id="rId102" Type="http://schemas.openxmlformats.org/officeDocument/2006/relationships/hyperlink" Target="https://coinmarketcap.com/currencies/agrello-delta" TargetMode="External"/><Relationship Id="rId144" Type="http://schemas.openxmlformats.org/officeDocument/2006/relationships/hyperlink" Target="https://coinmarketcap.com/currencies/poet" TargetMode="External"/><Relationship Id="rId547" Type="http://schemas.openxmlformats.org/officeDocument/2006/relationships/hyperlink" Target="https://coinmarketcap.com/currencies/globalcoin" TargetMode="External"/><Relationship Id="rId589" Type="http://schemas.openxmlformats.org/officeDocument/2006/relationships/hyperlink" Target="https://coinmarketcap.com/currencies/icoin" TargetMode="External"/><Relationship Id="rId754" Type="http://schemas.openxmlformats.org/officeDocument/2006/relationships/hyperlink" Target="https://coinmarketcap.com/currencies/agrolifecoin" TargetMode="External"/><Relationship Id="rId796" Type="http://schemas.openxmlformats.org/officeDocument/2006/relationships/hyperlink" Target="https://coinmarketcap.com/currencies/metal-music-coin" TargetMode="External"/><Relationship Id="rId961" Type="http://schemas.openxmlformats.org/officeDocument/2006/relationships/hyperlink" Target="https://coinmarketcap.com/currencies/peacecoin" TargetMode="External"/><Relationship Id="rId90" Type="http://schemas.openxmlformats.org/officeDocument/2006/relationships/hyperlink" Target="https://coinmarketcap.com/currencies/faircoin" TargetMode="External"/><Relationship Id="rId186" Type="http://schemas.openxmlformats.org/officeDocument/2006/relationships/hyperlink" Target="https://coinmarketcap.com/currencies/lomocoin" TargetMode="External"/><Relationship Id="rId351" Type="http://schemas.openxmlformats.org/officeDocument/2006/relationships/hyperlink" Target="https://coinmarketcap.com/currencies/piecoin" TargetMode="External"/><Relationship Id="rId393" Type="http://schemas.openxmlformats.org/officeDocument/2006/relationships/hyperlink" Target="https://coinmarketcap.com/currencies/onix" TargetMode="External"/><Relationship Id="rId407" Type="http://schemas.openxmlformats.org/officeDocument/2006/relationships/hyperlink" Target="https://coinmarketcap.com/currencies/fantomcoin" TargetMode="External"/><Relationship Id="rId449" Type="http://schemas.openxmlformats.org/officeDocument/2006/relationships/hyperlink" Target="https://coinmarketcap.com/currencies/flaxscript" TargetMode="External"/><Relationship Id="rId614" Type="http://schemas.openxmlformats.org/officeDocument/2006/relationships/hyperlink" Target="https://coinmarketcap.com/currencies/dalecoin" TargetMode="External"/><Relationship Id="rId656" Type="http://schemas.openxmlformats.org/officeDocument/2006/relationships/hyperlink" Target="https://coinmarketcap.com/currencies/gpu-coin" TargetMode="External"/><Relationship Id="rId821" Type="http://schemas.openxmlformats.org/officeDocument/2006/relationships/hyperlink" Target="https://coinmarketcap.com/currencies/slevin" TargetMode="External"/><Relationship Id="rId863" Type="http://schemas.openxmlformats.org/officeDocument/2006/relationships/hyperlink" Target="https://coinmarketcap.com/currencies/enigma" TargetMode="External"/><Relationship Id="rId1037" Type="http://schemas.openxmlformats.org/officeDocument/2006/relationships/hyperlink" Target="https://coinmarketcap.com/currencies/happy-creator-coin" TargetMode="External"/><Relationship Id="rId1079" Type="http://schemas.openxmlformats.org/officeDocument/2006/relationships/hyperlink" Target="https://coinmarketcap.com/currencies/quartz-qrz" TargetMode="External"/><Relationship Id="rId211" Type="http://schemas.openxmlformats.org/officeDocument/2006/relationships/hyperlink" Target="https://coinmarketcap.com/currencies/prizm" TargetMode="External"/><Relationship Id="rId253" Type="http://schemas.openxmlformats.org/officeDocument/2006/relationships/hyperlink" Target="https://coinmarketcap.com/currencies/auroracoin" TargetMode="External"/><Relationship Id="rId295" Type="http://schemas.openxmlformats.org/officeDocument/2006/relationships/hyperlink" Target="https://coinmarketcap.com/currencies/zclassic" TargetMode="External"/><Relationship Id="rId309" Type="http://schemas.openxmlformats.org/officeDocument/2006/relationships/hyperlink" Target="https://coinmarketcap.com/currencies/evergreencoin" TargetMode="External"/><Relationship Id="rId460" Type="http://schemas.openxmlformats.org/officeDocument/2006/relationships/hyperlink" Target="https://coinmarketcap.com/currencies/goldblocks" TargetMode="External"/><Relationship Id="rId516" Type="http://schemas.openxmlformats.org/officeDocument/2006/relationships/hyperlink" Target="https://coinmarketcap.com/currencies/inpay" TargetMode="External"/><Relationship Id="rId698" Type="http://schemas.openxmlformats.org/officeDocument/2006/relationships/hyperlink" Target="https://coinmarketcap.com/currencies/aricoin" TargetMode="External"/><Relationship Id="rId919" Type="http://schemas.openxmlformats.org/officeDocument/2006/relationships/hyperlink" Target="https://coinmarketcap.com/currencies/regacoin" TargetMode="External"/><Relationship Id="rId1090" Type="http://schemas.openxmlformats.org/officeDocument/2006/relationships/hyperlink" Target="https://coinmarketcap.com/currencies/safe-trade-coin" TargetMode="External"/><Relationship Id="rId1104" Type="http://schemas.openxmlformats.org/officeDocument/2006/relationships/hyperlink" Target="https://coinmarketcap.com/currencies/darklisk" TargetMode="External"/><Relationship Id="rId48" Type="http://schemas.openxmlformats.org/officeDocument/2006/relationships/hyperlink" Target="https://coinmarketcap.com/currencies/singulardtv" TargetMode="External"/><Relationship Id="rId113" Type="http://schemas.openxmlformats.org/officeDocument/2006/relationships/hyperlink" Target="https://coinmarketcap.com/currencies/crown" TargetMode="External"/><Relationship Id="rId320" Type="http://schemas.openxmlformats.org/officeDocument/2006/relationships/hyperlink" Target="https://coinmarketcap.com/currencies/linda" TargetMode="External"/><Relationship Id="rId558" Type="http://schemas.openxmlformats.org/officeDocument/2006/relationships/hyperlink" Target="https://coinmarketcap.com/currencies/shadow-token" TargetMode="External"/><Relationship Id="rId723" Type="http://schemas.openxmlformats.org/officeDocument/2006/relationships/hyperlink" Target="https://coinmarketcap.com/currencies/kurrent" TargetMode="External"/><Relationship Id="rId765" Type="http://schemas.openxmlformats.org/officeDocument/2006/relationships/hyperlink" Target="https://coinmarketcap.com/currencies/nevacoin" TargetMode="External"/><Relationship Id="rId930" Type="http://schemas.openxmlformats.org/officeDocument/2006/relationships/hyperlink" Target="https://coinmarketcap.com/currencies/paccoin" TargetMode="External"/><Relationship Id="rId972" Type="http://schemas.openxmlformats.org/officeDocument/2006/relationships/hyperlink" Target="https://coinmarketcap.com/currencies/coexistcoin" TargetMode="External"/><Relationship Id="rId1006" Type="http://schemas.openxmlformats.org/officeDocument/2006/relationships/hyperlink" Target="https://coinmarketcap.com/currencies/xaucoin" TargetMode="External"/><Relationship Id="rId155" Type="http://schemas.openxmlformats.org/officeDocument/2006/relationships/hyperlink" Target="https://coinmarketcap.com/currencies/sibcoin" TargetMode="External"/><Relationship Id="rId197" Type="http://schemas.openxmlformats.org/officeDocument/2006/relationships/hyperlink" Target="https://coinmarketcap.com/currencies/florincoin" TargetMode="External"/><Relationship Id="rId362" Type="http://schemas.openxmlformats.org/officeDocument/2006/relationships/hyperlink" Target="https://coinmarketcap.com/currencies/capricoin" TargetMode="External"/><Relationship Id="rId418" Type="http://schemas.openxmlformats.org/officeDocument/2006/relationships/hyperlink" Target="https://coinmarketcap.com/currencies/tagcoin" TargetMode="External"/><Relationship Id="rId625" Type="http://schemas.openxmlformats.org/officeDocument/2006/relationships/hyperlink" Target="https://coinmarketcap.com/currencies/ripto-bux" TargetMode="External"/><Relationship Id="rId832" Type="http://schemas.openxmlformats.org/officeDocument/2006/relationships/hyperlink" Target="https://coinmarketcap.com/currencies/wexcoin" TargetMode="External"/><Relationship Id="rId1048" Type="http://schemas.openxmlformats.org/officeDocument/2006/relationships/hyperlink" Target="https://coinmarketcap.com/currencies/irishcoin" TargetMode="External"/><Relationship Id="rId222" Type="http://schemas.openxmlformats.org/officeDocument/2006/relationships/hyperlink" Target="https://coinmarketcap.com/currencies/dao-casino" TargetMode="External"/><Relationship Id="rId264" Type="http://schemas.openxmlformats.org/officeDocument/2006/relationships/hyperlink" Target="https://coinmarketcap.com/currencies/synergy" TargetMode="External"/><Relationship Id="rId471" Type="http://schemas.openxmlformats.org/officeDocument/2006/relationships/hyperlink" Target="https://coinmarketcap.com/currencies/veros" TargetMode="External"/><Relationship Id="rId667" Type="http://schemas.openxmlformats.org/officeDocument/2006/relationships/hyperlink" Target="https://coinmarketcap.com/currencies/icobid" TargetMode="External"/><Relationship Id="rId874" Type="http://schemas.openxmlformats.org/officeDocument/2006/relationships/hyperlink" Target="https://coinmarketcap.com/currencies/xenixcoin" TargetMode="External"/><Relationship Id="rId1115" Type="http://schemas.openxmlformats.org/officeDocument/2006/relationships/hyperlink" Target="https://coinmarketcap.com/currencies/excelcoin" TargetMode="External"/><Relationship Id="rId17" Type="http://schemas.openxmlformats.org/officeDocument/2006/relationships/hyperlink" Target="https://coinmarketcap.com/currencies/zcash" TargetMode="External"/><Relationship Id="rId59" Type="http://schemas.openxmlformats.org/officeDocument/2006/relationships/hyperlink" Target="https://coinmarketcap.com/currencies/monaco" TargetMode="External"/><Relationship Id="rId124" Type="http://schemas.openxmlformats.org/officeDocument/2006/relationships/hyperlink" Target="https://coinmarketcap.com/currencies/adtoken" TargetMode="External"/><Relationship Id="rId527" Type="http://schemas.openxmlformats.org/officeDocument/2006/relationships/hyperlink" Target="https://coinmarketcap.com/currencies/woodcoin" TargetMode="External"/><Relationship Id="rId569" Type="http://schemas.openxmlformats.org/officeDocument/2006/relationships/hyperlink" Target="https://coinmarketcap.com/currencies/btctalkcoin" TargetMode="External"/><Relationship Id="rId734" Type="http://schemas.openxmlformats.org/officeDocument/2006/relationships/hyperlink" Target="https://coinmarketcap.com/currencies/gapcoin" TargetMode="External"/><Relationship Id="rId776" Type="http://schemas.openxmlformats.org/officeDocument/2006/relationships/hyperlink" Target="https://coinmarketcap.com/currencies/sooncoin" TargetMode="External"/><Relationship Id="rId941" Type="http://schemas.openxmlformats.org/officeDocument/2006/relationships/hyperlink" Target="https://coinmarketcap.com/currencies/internet-of-things" TargetMode="External"/><Relationship Id="rId983" Type="http://schemas.openxmlformats.org/officeDocument/2006/relationships/hyperlink" Target="https://coinmarketcap.com/currencies/blockchain-index" TargetMode="External"/><Relationship Id="rId70" Type="http://schemas.openxmlformats.org/officeDocument/2006/relationships/hyperlink" Target="https://coinmarketcap.com/currencies/ubiq" TargetMode="External"/><Relationship Id="rId166" Type="http://schemas.openxmlformats.org/officeDocument/2006/relationships/hyperlink" Target="https://coinmarketcap.com/currencies/omni" TargetMode="External"/><Relationship Id="rId331" Type="http://schemas.openxmlformats.org/officeDocument/2006/relationships/hyperlink" Target="https://coinmarketcap.com/currencies/mintcoin" TargetMode="External"/><Relationship Id="rId373" Type="http://schemas.openxmlformats.org/officeDocument/2006/relationships/hyperlink" Target="https://coinmarketcap.com/currencies/litedoge" TargetMode="External"/><Relationship Id="rId429" Type="http://schemas.openxmlformats.org/officeDocument/2006/relationships/hyperlink" Target="https://coinmarketcap.com/currencies/newyorkcoin" TargetMode="External"/><Relationship Id="rId580" Type="http://schemas.openxmlformats.org/officeDocument/2006/relationships/hyperlink" Target="https://coinmarketcap.com/currencies/cannacoin" TargetMode="External"/><Relationship Id="rId636" Type="http://schemas.openxmlformats.org/officeDocument/2006/relationships/hyperlink" Target="https://coinmarketcap.com/currencies/bitcurrency" TargetMode="External"/><Relationship Id="rId801" Type="http://schemas.openxmlformats.org/officeDocument/2006/relationships/hyperlink" Target="https://coinmarketcap.com/currencies/digital-rupees" TargetMode="External"/><Relationship Id="rId1017" Type="http://schemas.openxmlformats.org/officeDocument/2006/relationships/hyperlink" Target="https://coinmarketcap.com/currencies/ugain" TargetMode="External"/><Relationship Id="rId1059" Type="http://schemas.openxmlformats.org/officeDocument/2006/relationships/hyperlink" Target="https://coinmarketcap.com/currencies/thecreed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dimecoin" TargetMode="External"/><Relationship Id="rId440" Type="http://schemas.openxmlformats.org/officeDocument/2006/relationships/hyperlink" Target="https://coinmarketcap.com/currencies/machinecoin" TargetMode="External"/><Relationship Id="rId678" Type="http://schemas.openxmlformats.org/officeDocument/2006/relationships/hyperlink" Target="https://coinmarketcap.com/currencies/cagecoin" TargetMode="External"/><Relationship Id="rId843" Type="http://schemas.openxmlformats.org/officeDocument/2006/relationships/hyperlink" Target="https://coinmarketcap.com/currencies/xonecoin" TargetMode="External"/><Relationship Id="rId885" Type="http://schemas.openxmlformats.org/officeDocument/2006/relationships/hyperlink" Target="https://coinmarketcap.com/currencies/buzzcoin" TargetMode="External"/><Relationship Id="rId1070" Type="http://schemas.openxmlformats.org/officeDocument/2006/relationships/hyperlink" Target="https://coinmarketcap.com/currencies/bongger" TargetMode="External"/><Relationship Id="rId28" Type="http://schemas.openxmlformats.org/officeDocument/2006/relationships/hyperlink" Target="https://coinmarketcap.com/currencies/stellar" TargetMode="External"/><Relationship Id="rId275" Type="http://schemas.openxmlformats.org/officeDocument/2006/relationships/hyperlink" Target="https://coinmarketcap.com/currencies/neverdie" TargetMode="External"/><Relationship Id="rId300" Type="http://schemas.openxmlformats.org/officeDocument/2006/relationships/hyperlink" Target="https://coinmarketcap.com/currencies/giga-watt-token" TargetMode="External"/><Relationship Id="rId482" Type="http://schemas.openxmlformats.org/officeDocument/2006/relationships/hyperlink" Target="https://coinmarketcap.com/currencies/applecoin-apw" TargetMode="External"/><Relationship Id="rId538" Type="http://schemas.openxmlformats.org/officeDocument/2006/relationships/hyperlink" Target="https://coinmarketcap.com/currencies/sovereign-hero" TargetMode="External"/><Relationship Id="rId703" Type="http://schemas.openxmlformats.org/officeDocument/2006/relationships/hyperlink" Target="https://coinmarketcap.com/currencies/sativacoin" TargetMode="External"/><Relationship Id="rId745" Type="http://schemas.openxmlformats.org/officeDocument/2006/relationships/hyperlink" Target="https://coinmarketcap.com/currencies/sojourn" TargetMode="External"/><Relationship Id="rId910" Type="http://schemas.openxmlformats.org/officeDocument/2006/relationships/hyperlink" Target="https://coinmarketcap.com/currencies/mind-gene" TargetMode="External"/><Relationship Id="rId952" Type="http://schemas.openxmlformats.org/officeDocument/2006/relationships/hyperlink" Target="https://coinmarketcap.com/currencies/wowecoin" TargetMode="External"/><Relationship Id="rId81" Type="http://schemas.openxmlformats.org/officeDocument/2006/relationships/hyperlink" Target="https://coinmarketcap.com/currencies/rlc" TargetMode="External"/><Relationship Id="rId135" Type="http://schemas.openxmlformats.org/officeDocument/2006/relationships/hyperlink" Target="https://coinmarketcap.com/currencies/monetaryunit" TargetMode="External"/><Relationship Id="rId177" Type="http://schemas.openxmlformats.org/officeDocument/2006/relationships/hyperlink" Target="https://coinmarketcap.com/currencies/einsteinium" TargetMode="External"/><Relationship Id="rId342" Type="http://schemas.openxmlformats.org/officeDocument/2006/relationships/hyperlink" Target="https://coinmarketcap.com/currencies/fujinto" TargetMode="External"/><Relationship Id="rId384" Type="http://schemas.openxmlformats.org/officeDocument/2006/relationships/hyperlink" Target="https://coinmarketcap.com/currencies/fastcoin" TargetMode="External"/><Relationship Id="rId591" Type="http://schemas.openxmlformats.org/officeDocument/2006/relationships/hyperlink" Target="https://coinmarketcap.com/currencies/gaia" TargetMode="External"/><Relationship Id="rId605" Type="http://schemas.openxmlformats.org/officeDocument/2006/relationships/hyperlink" Target="https://coinmarketcap.com/currencies/bunnycoin" TargetMode="External"/><Relationship Id="rId787" Type="http://schemas.openxmlformats.org/officeDocument/2006/relationships/hyperlink" Target="https://coinmarketcap.com/currencies/bitquark" TargetMode="External"/><Relationship Id="rId812" Type="http://schemas.openxmlformats.org/officeDocument/2006/relationships/hyperlink" Target="https://coinmarketcap.com/currencies/litecred" TargetMode="External"/><Relationship Id="rId994" Type="http://schemas.openxmlformats.org/officeDocument/2006/relationships/hyperlink" Target="https://coinmarketcap.com/currencies/mobilecash" TargetMode="External"/><Relationship Id="rId1028" Type="http://schemas.openxmlformats.org/officeDocument/2006/relationships/hyperlink" Target="https://coinmarketcap.com/currencies/axiom" TargetMode="External"/><Relationship Id="rId202" Type="http://schemas.openxmlformats.org/officeDocument/2006/relationships/hyperlink" Target="https://coinmarketcap.com/currencies/whitecoin" TargetMode="External"/><Relationship Id="rId244" Type="http://schemas.openxmlformats.org/officeDocument/2006/relationships/hyperlink" Target="https://coinmarketcap.com/currencies/exclusivecoin" TargetMode="External"/><Relationship Id="rId647" Type="http://schemas.openxmlformats.org/officeDocument/2006/relationships/hyperlink" Target="https://coinmarketcap.com/currencies/master-swiscoin" TargetMode="External"/><Relationship Id="rId689" Type="http://schemas.openxmlformats.org/officeDocument/2006/relationships/hyperlink" Target="https://coinmarketcap.com/currencies/hacker-gold" TargetMode="External"/><Relationship Id="rId854" Type="http://schemas.openxmlformats.org/officeDocument/2006/relationships/hyperlink" Target="https://coinmarketcap.com/currencies/rawcoin2" TargetMode="External"/><Relationship Id="rId896" Type="http://schemas.openxmlformats.org/officeDocument/2006/relationships/hyperlink" Target="https://coinmarketcap.com/currencies/storjcoin-x" TargetMode="External"/><Relationship Id="rId1081" Type="http://schemas.openxmlformats.org/officeDocument/2006/relationships/hyperlink" Target="https://coinmarketcap.com/currencies/golfcoin" TargetMode="External"/><Relationship Id="rId39" Type="http://schemas.openxmlformats.org/officeDocument/2006/relationships/hyperlink" Target="https://coinmarketcap.com/currencies/digixdao" TargetMode="External"/><Relationship Id="rId286" Type="http://schemas.openxmlformats.org/officeDocument/2006/relationships/hyperlink" Target="https://coinmarketcap.com/currencies/bitmark" TargetMode="External"/><Relationship Id="rId451" Type="http://schemas.openxmlformats.org/officeDocument/2006/relationships/hyperlink" Target="https://coinmarketcap.com/currencies/rupaya" TargetMode="External"/><Relationship Id="rId493" Type="http://schemas.openxmlformats.org/officeDocument/2006/relationships/hyperlink" Target="https://coinmarketcap.com/currencies/xcurrency" TargetMode="External"/><Relationship Id="rId507" Type="http://schemas.openxmlformats.org/officeDocument/2006/relationships/hyperlink" Target="https://coinmarketcap.com/currencies/ico-openledger" TargetMode="External"/><Relationship Id="rId549" Type="http://schemas.openxmlformats.org/officeDocument/2006/relationships/hyperlink" Target="https://coinmarketcap.com/currencies/orbitcoin" TargetMode="External"/><Relationship Id="rId714" Type="http://schemas.openxmlformats.org/officeDocument/2006/relationships/hyperlink" Target="https://coinmarketcap.com/currencies/corgicoin" TargetMode="External"/><Relationship Id="rId756" Type="http://schemas.openxmlformats.org/officeDocument/2006/relationships/hyperlink" Target="https://coinmarketcap.com/currencies/beatcoin" TargetMode="External"/><Relationship Id="rId921" Type="http://schemas.openxmlformats.org/officeDocument/2006/relationships/hyperlink" Target="https://coinmarketcap.com/currencies/amsterdamcoin" TargetMode="External"/><Relationship Id="rId50" Type="http://schemas.openxmlformats.org/officeDocument/2006/relationships/hyperlink" Target="https://coinmarketcap.com/currencies/0x" TargetMode="External"/><Relationship Id="rId104" Type="http://schemas.openxmlformats.org/officeDocument/2006/relationships/hyperlink" Target="https://coinmarketcap.com/currencies/aidos-kuneen" TargetMode="External"/><Relationship Id="rId146" Type="http://schemas.openxmlformats.org/officeDocument/2006/relationships/hyperlink" Target="https://coinmarketcap.com/currencies/skycoin" TargetMode="External"/><Relationship Id="rId188" Type="http://schemas.openxmlformats.org/officeDocument/2006/relationships/hyperlink" Target="https://coinmarketcap.com/currencies/databits" TargetMode="External"/><Relationship Id="rId311" Type="http://schemas.openxmlformats.org/officeDocument/2006/relationships/hyperlink" Target="https://coinmarketcap.com/currencies/colossuscoin-v2" TargetMode="External"/><Relationship Id="rId353" Type="http://schemas.openxmlformats.org/officeDocument/2006/relationships/hyperlink" Target="https://coinmarketcap.com/currencies/vpncoin" TargetMode="External"/><Relationship Id="rId395" Type="http://schemas.openxmlformats.org/officeDocument/2006/relationships/hyperlink" Target="https://coinmarketcap.com/currencies/cryptonite" TargetMode="External"/><Relationship Id="rId409" Type="http://schemas.openxmlformats.org/officeDocument/2006/relationships/hyperlink" Target="https://coinmarketcap.com/currencies/procurrency" TargetMode="External"/><Relationship Id="rId560" Type="http://schemas.openxmlformats.org/officeDocument/2006/relationships/hyperlink" Target="https://coinmarketcap.com/currencies/trollcoin" TargetMode="External"/><Relationship Id="rId798" Type="http://schemas.openxmlformats.org/officeDocument/2006/relationships/hyperlink" Target="https://coinmarketcap.com/currencies/high-voltage" TargetMode="External"/><Relationship Id="rId963" Type="http://schemas.openxmlformats.org/officeDocument/2006/relationships/hyperlink" Target="https://coinmarketcap.com/currencies/aseancoin" TargetMode="External"/><Relationship Id="rId1039" Type="http://schemas.openxmlformats.org/officeDocument/2006/relationships/hyperlink" Target="https://coinmarketcap.com/currencies/braincoin" TargetMode="External"/><Relationship Id="rId92" Type="http://schemas.openxmlformats.org/officeDocument/2006/relationships/hyperlink" Target="https://coinmarketcap.com/currencies/melon" TargetMode="External"/><Relationship Id="rId213" Type="http://schemas.openxmlformats.org/officeDocument/2006/relationships/hyperlink" Target="https://coinmarketcap.com/currencies/spectrecoin" TargetMode="External"/><Relationship Id="rId420" Type="http://schemas.openxmlformats.org/officeDocument/2006/relationships/hyperlink" Target="https://coinmarketcap.com/currencies/dinastycoin" TargetMode="External"/><Relationship Id="rId616" Type="http://schemas.openxmlformats.org/officeDocument/2006/relationships/hyperlink" Target="https://coinmarketcap.com/currencies/pesobit" TargetMode="External"/><Relationship Id="rId658" Type="http://schemas.openxmlformats.org/officeDocument/2006/relationships/hyperlink" Target="https://coinmarketcap.com/currencies/electra" TargetMode="External"/><Relationship Id="rId823" Type="http://schemas.openxmlformats.org/officeDocument/2006/relationships/hyperlink" Target="https://coinmarketcap.com/currencies/xiaomicoin" TargetMode="External"/><Relationship Id="rId865" Type="http://schemas.openxmlformats.org/officeDocument/2006/relationships/hyperlink" Target="https://coinmarketcap.com/currencies/environ" TargetMode="External"/><Relationship Id="rId1050" Type="http://schemas.openxmlformats.org/officeDocument/2006/relationships/hyperlink" Target="https://coinmarketcap.com/currencies/betacoin" TargetMode="External"/><Relationship Id="rId255" Type="http://schemas.openxmlformats.org/officeDocument/2006/relationships/hyperlink" Target="https://coinmarketcap.com/currencies/bitswift" TargetMode="External"/><Relationship Id="rId297" Type="http://schemas.openxmlformats.org/officeDocument/2006/relationships/hyperlink" Target="https://coinmarketcap.com/currencies/ybcoin" TargetMode="External"/><Relationship Id="rId462" Type="http://schemas.openxmlformats.org/officeDocument/2006/relationships/hyperlink" Target="https://coinmarketcap.com/currencies/chronos" TargetMode="External"/><Relationship Id="rId518" Type="http://schemas.openxmlformats.org/officeDocument/2006/relationships/hyperlink" Target="https://coinmarketcap.com/currencies/janus" TargetMode="External"/><Relationship Id="rId725" Type="http://schemas.openxmlformats.org/officeDocument/2006/relationships/hyperlink" Target="https://coinmarketcap.com/currencies/money" TargetMode="External"/><Relationship Id="rId932" Type="http://schemas.openxmlformats.org/officeDocument/2006/relationships/hyperlink" Target="https://coinmarketcap.com/currencies/protean" TargetMode="External"/><Relationship Id="rId1092" Type="http://schemas.openxmlformats.org/officeDocument/2006/relationships/hyperlink" Target="https://coinmarketcap.com/currencies/antimatter" TargetMode="External"/><Relationship Id="rId1106" Type="http://schemas.openxmlformats.org/officeDocument/2006/relationships/hyperlink" Target="https://coinmarketcap.com/currencies/microcoin" TargetMode="External"/><Relationship Id="rId115" Type="http://schemas.openxmlformats.org/officeDocument/2006/relationships/hyperlink" Target="https://coinmarketcap.com/currencies/mothership" TargetMode="External"/><Relationship Id="rId157" Type="http://schemas.openxmlformats.org/officeDocument/2006/relationships/hyperlink" Target="https://coinmarketcap.com/currencies/credo" TargetMode="External"/><Relationship Id="rId322" Type="http://schemas.openxmlformats.org/officeDocument/2006/relationships/hyperlink" Target="https://coinmarketcap.com/currencies/vtorrent" TargetMode="External"/><Relationship Id="rId364" Type="http://schemas.openxmlformats.org/officeDocument/2006/relationships/hyperlink" Target="https://coinmarketcap.com/currencies/incakoin" TargetMode="External"/><Relationship Id="rId767" Type="http://schemas.openxmlformats.org/officeDocument/2006/relationships/hyperlink" Target="https://coinmarketcap.com/currencies/dreamcoin" TargetMode="External"/><Relationship Id="rId974" Type="http://schemas.openxmlformats.org/officeDocument/2006/relationships/hyperlink" Target="https://coinmarketcap.com/currencies/9coin" TargetMode="External"/><Relationship Id="rId1008" Type="http://schemas.openxmlformats.org/officeDocument/2006/relationships/hyperlink" Target="https://coinmarketcap.com/currencies/opescoin" TargetMode="External"/><Relationship Id="rId61" Type="http://schemas.openxmlformats.org/officeDocument/2006/relationships/hyperlink" Target="https://coinmarketcap.com/currencies/binance-coin" TargetMode="External"/><Relationship Id="rId199" Type="http://schemas.openxmlformats.org/officeDocument/2006/relationships/hyperlink" Target="https://coinmarketcap.com/currencies/hive" TargetMode="External"/><Relationship Id="rId571" Type="http://schemas.openxmlformats.org/officeDocument/2006/relationships/hyperlink" Target="https://coinmarketcap.com/currencies/smoke" TargetMode="External"/><Relationship Id="rId627" Type="http://schemas.openxmlformats.org/officeDocument/2006/relationships/hyperlink" Target="https://coinmarketcap.com/currencies/yacoin" TargetMode="External"/><Relationship Id="rId669" Type="http://schemas.openxmlformats.org/officeDocument/2006/relationships/hyperlink" Target="https://coinmarketcap.com/currencies/cannation" TargetMode="External"/><Relationship Id="rId834" Type="http://schemas.openxmlformats.org/officeDocument/2006/relationships/hyperlink" Target="https://coinmarketcap.com/currencies/posex" TargetMode="External"/><Relationship Id="rId876" Type="http://schemas.openxmlformats.org/officeDocument/2006/relationships/hyperlink" Target="https://coinmarketcap.com/currencies/infchain" TargetMode="External"/><Relationship Id="rId19" Type="http://schemas.openxmlformats.org/officeDocument/2006/relationships/hyperlink" Target="https://coinmarketcap.com/currencies/ark" TargetMode="External"/><Relationship Id="rId224" Type="http://schemas.openxmlformats.org/officeDocument/2006/relationships/hyperlink" Target="https://coinmarketcap.com/currencies/pluton" TargetMode="External"/><Relationship Id="rId266" Type="http://schemas.openxmlformats.org/officeDocument/2006/relationships/hyperlink" Target="https://coinmarketcap.com/currencies/bitcore" TargetMode="External"/><Relationship Id="rId431" Type="http://schemas.openxmlformats.org/officeDocument/2006/relationships/hyperlink" Target="https://coinmarketcap.com/currencies/mazacoin" TargetMode="External"/><Relationship Id="rId473" Type="http://schemas.openxmlformats.org/officeDocument/2006/relationships/hyperlink" Target="https://coinmarketcap.com/currencies/chncoin" TargetMode="External"/><Relationship Id="rId529" Type="http://schemas.openxmlformats.org/officeDocument/2006/relationships/hyperlink" Target="https://coinmarketcap.com/currencies/xp" TargetMode="External"/><Relationship Id="rId680" Type="http://schemas.openxmlformats.org/officeDocument/2006/relationships/hyperlink" Target="https://coinmarketcap.com/currencies/dibcoin" TargetMode="External"/><Relationship Id="rId736" Type="http://schemas.openxmlformats.org/officeDocument/2006/relationships/hyperlink" Target="https://coinmarketcap.com/currencies/halcyon" TargetMode="External"/><Relationship Id="rId901" Type="http://schemas.openxmlformats.org/officeDocument/2006/relationships/hyperlink" Target="https://coinmarketcap.com/currencies/iquant" TargetMode="External"/><Relationship Id="rId1061" Type="http://schemas.openxmlformats.org/officeDocument/2006/relationships/hyperlink" Target="https://coinmarketcap.com/currencies/topcoin" TargetMode="External"/><Relationship Id="rId1117" Type="http://schemas.openxmlformats.org/officeDocument/2006/relationships/hyperlink" Target="https://coinmarketcap.com/currencies/electionchain" TargetMode="External"/><Relationship Id="rId30" Type="http://schemas.openxmlformats.org/officeDocument/2006/relationships/hyperlink" Target="https://coinmarketcap.com/currencies/tenx" TargetMode="External"/><Relationship Id="rId126" Type="http://schemas.openxmlformats.org/officeDocument/2006/relationships/hyperlink" Target="https://coinmarketcap.com/currencies/ion" TargetMode="External"/><Relationship Id="rId168" Type="http://schemas.openxmlformats.org/officeDocument/2006/relationships/hyperlink" Target="https://coinmarketcap.com/currencies/golos" TargetMode="External"/><Relationship Id="rId333" Type="http://schemas.openxmlformats.org/officeDocument/2006/relationships/hyperlink" Target="https://coinmarketcap.com/currencies/cryptoping" TargetMode="External"/><Relationship Id="rId540" Type="http://schemas.openxmlformats.org/officeDocument/2006/relationships/hyperlink" Target="https://coinmarketcap.com/currencies/canada-ecoin" TargetMode="External"/><Relationship Id="rId778" Type="http://schemas.openxmlformats.org/officeDocument/2006/relationships/hyperlink" Target="https://coinmarketcap.com/currencies/kittehcoin" TargetMode="External"/><Relationship Id="rId943" Type="http://schemas.openxmlformats.org/officeDocument/2006/relationships/hyperlink" Target="https://coinmarketcap.com/currencies/zilbercoin" TargetMode="External"/><Relationship Id="rId985" Type="http://schemas.openxmlformats.org/officeDocument/2006/relationships/hyperlink" Target="https://coinmarketcap.com/currencies/batcoin" TargetMode="External"/><Relationship Id="rId1019" Type="http://schemas.openxmlformats.org/officeDocument/2006/relationships/hyperlink" Target="https://coinmarketcap.com/currencies/bitgem" TargetMode="External"/><Relationship Id="rId72" Type="http://schemas.openxmlformats.org/officeDocument/2006/relationships/hyperlink" Target="https://coinmarketcap.com/currencies/aragon" TargetMode="External"/><Relationship Id="rId375" Type="http://schemas.openxmlformats.org/officeDocument/2006/relationships/hyperlink" Target="https://coinmarketcap.com/currencies/monster-byte" TargetMode="External"/><Relationship Id="rId582" Type="http://schemas.openxmlformats.org/officeDocument/2006/relationships/hyperlink" Target="https://coinmarketcap.com/currencies/deutsche-emark" TargetMode="External"/><Relationship Id="rId638" Type="http://schemas.openxmlformats.org/officeDocument/2006/relationships/hyperlink" Target="https://coinmarketcap.com/currencies/sproutsextreme" TargetMode="External"/><Relationship Id="rId803" Type="http://schemas.openxmlformats.org/officeDocument/2006/relationships/hyperlink" Target="https://coinmarketcap.com/currencies/rsgpcoin" TargetMode="External"/><Relationship Id="rId845" Type="http://schemas.openxmlformats.org/officeDocument/2006/relationships/hyperlink" Target="https://coinmarketcap.com/currencies/argus" TargetMode="External"/><Relationship Id="rId1030" Type="http://schemas.openxmlformats.org/officeDocument/2006/relationships/hyperlink" Target="https://coinmarketcap.com/currencies/aces" TargetMode="External"/><Relationship Id="rId3" Type="http://schemas.openxmlformats.org/officeDocument/2006/relationships/hyperlink" Target="https://coinmarketcap.com/currencies/ripple" TargetMode="External"/><Relationship Id="rId235" Type="http://schemas.openxmlformats.org/officeDocument/2006/relationships/hyperlink" Target="https://coinmarketcap.com/currencies/project-decorum" TargetMode="External"/><Relationship Id="rId277" Type="http://schemas.openxmlformats.org/officeDocument/2006/relationships/hyperlink" Target="https://coinmarketcap.com/currencies/primalbase" TargetMode="External"/><Relationship Id="rId400" Type="http://schemas.openxmlformats.org/officeDocument/2006/relationships/hyperlink" Target="https://coinmarketcap.com/currencies/kekcoin" TargetMode="External"/><Relationship Id="rId442" Type="http://schemas.openxmlformats.org/officeDocument/2006/relationships/hyperlink" Target="https://coinmarketcap.com/currencies/titcoin" TargetMode="External"/><Relationship Id="rId484" Type="http://schemas.openxmlformats.org/officeDocument/2006/relationships/hyperlink" Target="https://coinmarketcap.com/currencies/litebitcoin" TargetMode="External"/><Relationship Id="rId705" Type="http://schemas.openxmlformats.org/officeDocument/2006/relationships/hyperlink" Target="https://coinmarketcap.com/currencies/securecoin" TargetMode="External"/><Relationship Id="rId887" Type="http://schemas.openxmlformats.org/officeDocument/2006/relationships/hyperlink" Target="https://coinmarketcap.com/currencies/decentraland" TargetMode="External"/><Relationship Id="rId1072" Type="http://schemas.openxmlformats.org/officeDocument/2006/relationships/hyperlink" Target="https://coinmarketcap.com/currencies/turbocoin" TargetMode="External"/><Relationship Id="rId137" Type="http://schemas.openxmlformats.org/officeDocument/2006/relationships/hyperlink" Target="https://coinmarketcap.com/currencies/library-credit" TargetMode="External"/><Relationship Id="rId302" Type="http://schemas.openxmlformats.org/officeDocument/2006/relationships/hyperlink" Target="https://coinmarketcap.com/currencies/creativecoin" TargetMode="External"/><Relationship Id="rId344" Type="http://schemas.openxmlformats.org/officeDocument/2006/relationships/hyperlink" Target="https://coinmarketcap.com/currencies/cryptocarbon" TargetMode="External"/><Relationship Id="rId691" Type="http://schemas.openxmlformats.org/officeDocument/2006/relationships/hyperlink" Target="https://coinmarketcap.com/currencies/cachecoin" TargetMode="External"/><Relationship Id="rId747" Type="http://schemas.openxmlformats.org/officeDocument/2006/relationships/hyperlink" Target="https://coinmarketcap.com/currencies/hexx" TargetMode="External"/><Relationship Id="rId789" Type="http://schemas.openxmlformats.org/officeDocument/2006/relationships/hyperlink" Target="https://coinmarketcap.com/currencies/zetamicron" TargetMode="External"/><Relationship Id="rId912" Type="http://schemas.openxmlformats.org/officeDocument/2006/relationships/hyperlink" Target="https://coinmarketcap.com/currencies/ergo" TargetMode="External"/><Relationship Id="rId954" Type="http://schemas.openxmlformats.org/officeDocument/2006/relationships/hyperlink" Target="https://coinmarketcap.com/currencies/digitalfund" TargetMode="External"/><Relationship Id="rId996" Type="http://schemas.openxmlformats.org/officeDocument/2006/relationships/hyperlink" Target="https://coinmarketcap.com/currencies/xtd-coin" TargetMode="External"/><Relationship Id="rId41" Type="http://schemas.openxmlformats.org/officeDocument/2006/relationships/hyperlink" Target="https://coinmarketcap.com/currencies/siacoin" TargetMode="External"/><Relationship Id="rId83" Type="http://schemas.openxmlformats.org/officeDocument/2006/relationships/hyperlink" Target="https://coinmarketcap.com/currencies/tierion" TargetMode="External"/><Relationship Id="rId179" Type="http://schemas.openxmlformats.org/officeDocument/2006/relationships/hyperlink" Target="https://coinmarketcap.com/currencies/propy" TargetMode="External"/><Relationship Id="rId386" Type="http://schemas.openxmlformats.org/officeDocument/2006/relationships/hyperlink" Target="https://coinmarketcap.com/currencies/unitus" TargetMode="External"/><Relationship Id="rId551" Type="http://schemas.openxmlformats.org/officeDocument/2006/relationships/hyperlink" Target="https://coinmarketcap.com/currencies/rare-pepe-party" TargetMode="External"/><Relationship Id="rId593" Type="http://schemas.openxmlformats.org/officeDocument/2006/relationships/hyperlink" Target="https://coinmarketcap.com/currencies/joincoin" TargetMode="External"/><Relationship Id="rId607" Type="http://schemas.openxmlformats.org/officeDocument/2006/relationships/hyperlink" Target="https://coinmarketcap.com/currencies/ratecoin" TargetMode="External"/><Relationship Id="rId649" Type="http://schemas.openxmlformats.org/officeDocument/2006/relationships/hyperlink" Target="https://coinmarketcap.com/currencies/sling" TargetMode="External"/><Relationship Id="rId814" Type="http://schemas.openxmlformats.org/officeDocument/2006/relationships/hyperlink" Target="https://coinmarketcap.com/currencies/solarflarecoin" TargetMode="External"/><Relationship Id="rId856" Type="http://schemas.openxmlformats.org/officeDocument/2006/relationships/hyperlink" Target="https://coinmarketcap.com/currencies/lex4all" TargetMode="External"/><Relationship Id="rId190" Type="http://schemas.openxmlformats.org/officeDocument/2006/relationships/hyperlink" Target="https://coinmarketcap.com/currencies/ixledger" TargetMode="External"/><Relationship Id="rId204" Type="http://schemas.openxmlformats.org/officeDocument/2006/relationships/hyperlink" Target="https://coinmarketcap.com/currencies/openanx" TargetMode="External"/><Relationship Id="rId246" Type="http://schemas.openxmlformats.org/officeDocument/2006/relationships/hyperlink" Target="https://coinmarketcap.com/currencies/stealthcoin" TargetMode="External"/><Relationship Id="rId288" Type="http://schemas.openxmlformats.org/officeDocument/2006/relationships/hyperlink" Target="https://coinmarketcap.com/currencies/dopecoin" TargetMode="External"/><Relationship Id="rId411" Type="http://schemas.openxmlformats.org/officeDocument/2006/relationships/hyperlink" Target="https://coinmarketcap.com/currencies/worldcoin" TargetMode="External"/><Relationship Id="rId453" Type="http://schemas.openxmlformats.org/officeDocument/2006/relationships/hyperlink" Target="https://coinmarketcap.com/currencies/iconic" TargetMode="External"/><Relationship Id="rId509" Type="http://schemas.openxmlformats.org/officeDocument/2006/relationships/hyperlink" Target="https://coinmarketcap.com/currencies/vivo" TargetMode="External"/><Relationship Id="rId660" Type="http://schemas.openxmlformats.org/officeDocument/2006/relationships/hyperlink" Target="https://coinmarketcap.com/currencies/blakestar" TargetMode="External"/><Relationship Id="rId898" Type="http://schemas.openxmlformats.org/officeDocument/2006/relationships/hyperlink" Target="https://coinmarketcap.com/currencies/sigmacoin" TargetMode="External"/><Relationship Id="rId1041" Type="http://schemas.openxmlformats.org/officeDocument/2006/relationships/hyperlink" Target="https://coinmarketcap.com/currencies/frankywillcoin" TargetMode="External"/><Relationship Id="rId1083" Type="http://schemas.openxmlformats.org/officeDocument/2006/relationships/hyperlink" Target="https://coinmarketcap.com/currencies/utacoin" TargetMode="External"/><Relationship Id="rId106" Type="http://schemas.openxmlformats.org/officeDocument/2006/relationships/hyperlink" Target="https://coinmarketcap.com/currencies/reddcoin" TargetMode="External"/><Relationship Id="rId313" Type="http://schemas.openxmlformats.org/officeDocument/2006/relationships/hyperlink" Target="https://coinmarketcap.com/currencies/chaincoin" TargetMode="External"/><Relationship Id="rId495" Type="http://schemas.openxmlformats.org/officeDocument/2006/relationships/hyperlink" Target="https://coinmarketcap.com/currencies/bitcny" TargetMode="External"/><Relationship Id="rId716" Type="http://schemas.openxmlformats.org/officeDocument/2006/relationships/hyperlink" Target="https://coinmarketcap.com/currencies/argentum" TargetMode="External"/><Relationship Id="rId758" Type="http://schemas.openxmlformats.org/officeDocument/2006/relationships/hyperlink" Target="https://coinmarketcap.com/currencies/popularcoin" TargetMode="External"/><Relationship Id="rId923" Type="http://schemas.openxmlformats.org/officeDocument/2006/relationships/hyperlink" Target="https://coinmarketcap.com/currencies/pirate-blocks" TargetMode="External"/><Relationship Id="rId965" Type="http://schemas.openxmlformats.org/officeDocument/2006/relationships/hyperlink" Target="https://coinmarketcap.com/currencies/hbcoin" TargetMode="External"/><Relationship Id="rId10" Type="http://schemas.openxmlformats.org/officeDocument/2006/relationships/hyperlink" Target="https://coinmarketcap.com/currencies/neo" TargetMode="External"/><Relationship Id="rId52" Type="http://schemas.openxmlformats.org/officeDocument/2006/relationships/hyperlink" Target="https://coinmarketcap.com/currencies/dogecoin" TargetMode="External"/><Relationship Id="rId94" Type="http://schemas.openxmlformats.org/officeDocument/2006/relationships/hyperlink" Target="https://coinmarketcap.com/currencies/tokencard" TargetMode="External"/><Relationship Id="rId148" Type="http://schemas.openxmlformats.org/officeDocument/2006/relationships/hyperlink" Target="https://coinmarketcap.com/currencies/burst" TargetMode="External"/><Relationship Id="rId355" Type="http://schemas.openxmlformats.org/officeDocument/2006/relationships/hyperlink" Target="https://coinmarketcap.com/currencies/growers-international" TargetMode="External"/><Relationship Id="rId397" Type="http://schemas.openxmlformats.org/officeDocument/2006/relationships/hyperlink" Target="https://coinmarketcap.com/currencies/denarius-dnr" TargetMode="External"/><Relationship Id="rId520" Type="http://schemas.openxmlformats.org/officeDocument/2006/relationships/hyperlink" Target="https://coinmarketcap.com/currencies/etheriya" TargetMode="External"/><Relationship Id="rId562" Type="http://schemas.openxmlformats.org/officeDocument/2006/relationships/hyperlink" Target="https://coinmarketcap.com/currencies/kobocoin" TargetMode="External"/><Relationship Id="rId618" Type="http://schemas.openxmlformats.org/officeDocument/2006/relationships/hyperlink" Target="https://coinmarketcap.com/currencies/bitsilver" TargetMode="External"/><Relationship Id="rId825" Type="http://schemas.openxmlformats.org/officeDocument/2006/relationships/hyperlink" Target="https://coinmarketcap.com/currencies/torcoin-tor" TargetMode="External"/><Relationship Id="rId215" Type="http://schemas.openxmlformats.org/officeDocument/2006/relationships/hyperlink" Target="https://coinmarketcap.com/currencies/toacoin" TargetMode="External"/><Relationship Id="rId257" Type="http://schemas.openxmlformats.org/officeDocument/2006/relationships/hyperlink" Target="https://coinmarketcap.com/currencies/dent" TargetMode="External"/><Relationship Id="rId422" Type="http://schemas.openxmlformats.org/officeDocument/2006/relationships/hyperlink" Target="https://coinmarketcap.com/currencies/postcoin" TargetMode="External"/><Relationship Id="rId464" Type="http://schemas.openxmlformats.org/officeDocument/2006/relationships/hyperlink" Target="https://coinmarketcap.com/currencies/prime-xi" TargetMode="External"/><Relationship Id="rId867" Type="http://schemas.openxmlformats.org/officeDocument/2006/relationships/hyperlink" Target="https://coinmarketcap.com/currencies/powercoin" TargetMode="External"/><Relationship Id="rId1010" Type="http://schemas.openxmlformats.org/officeDocument/2006/relationships/hyperlink" Target="https://coinmarketcap.com/currencies/coupecoin" TargetMode="External"/><Relationship Id="rId1052" Type="http://schemas.openxmlformats.org/officeDocument/2006/relationships/hyperlink" Target="https://coinmarketcap.com/currencies/the-vegan-initiative" TargetMode="External"/><Relationship Id="rId1094" Type="http://schemas.openxmlformats.org/officeDocument/2006/relationships/hyperlink" Target="https://coinmarketcap.com/currencies/eggcoin" TargetMode="External"/><Relationship Id="rId1108" Type="http://schemas.openxmlformats.org/officeDocument/2006/relationships/hyperlink" Target="https://coinmarketcap.com/currencies/yoyow" TargetMode="External"/><Relationship Id="rId299" Type="http://schemas.openxmlformats.org/officeDocument/2006/relationships/hyperlink" Target="https://coinmarketcap.com/currencies/breakout" TargetMode="External"/><Relationship Id="rId727" Type="http://schemas.openxmlformats.org/officeDocument/2006/relationships/hyperlink" Target="https://coinmarketcap.com/currencies/tattoocoin" TargetMode="External"/><Relationship Id="rId934" Type="http://schemas.openxmlformats.org/officeDocument/2006/relationships/hyperlink" Target="https://coinmarketcap.com/currencies/uncoin" TargetMode="External"/><Relationship Id="rId63" Type="http://schemas.openxmlformats.org/officeDocument/2006/relationships/hyperlink" Target="https://coinmarketcap.com/currencies/gas" TargetMode="External"/><Relationship Id="rId159" Type="http://schemas.openxmlformats.org/officeDocument/2006/relationships/hyperlink" Target="https://coinmarketcap.com/currencies/quantum" TargetMode="External"/><Relationship Id="rId366" Type="http://schemas.openxmlformats.org/officeDocument/2006/relationships/hyperlink" Target="https://coinmarketcap.com/currencies/inflationcoin" TargetMode="External"/><Relationship Id="rId573" Type="http://schemas.openxmlformats.org/officeDocument/2006/relationships/hyperlink" Target="https://coinmarketcap.com/currencies/swing" TargetMode="External"/><Relationship Id="rId780" Type="http://schemas.openxmlformats.org/officeDocument/2006/relationships/hyperlink" Target="https://coinmarketcap.com/currencies/virtualcoin" TargetMode="External"/><Relationship Id="rId226" Type="http://schemas.openxmlformats.org/officeDocument/2006/relationships/hyperlink" Target="https://coinmarketcap.com/currencies/asch" TargetMode="External"/><Relationship Id="rId433" Type="http://schemas.openxmlformats.org/officeDocument/2006/relationships/hyperlink" Target="https://coinmarketcap.com/currencies/42-coin" TargetMode="External"/><Relationship Id="rId878" Type="http://schemas.openxmlformats.org/officeDocument/2006/relationships/hyperlink" Target="https://coinmarketcap.com/currencies/dynamiccoin" TargetMode="External"/><Relationship Id="rId1063" Type="http://schemas.openxmlformats.org/officeDocument/2006/relationships/hyperlink" Target="https://coinmarketcap.com/currencies/skeincoin" TargetMode="External"/><Relationship Id="rId640" Type="http://schemas.openxmlformats.org/officeDocument/2006/relationships/hyperlink" Target="https://coinmarketcap.com/currencies/pascal-lite" TargetMode="External"/><Relationship Id="rId738" Type="http://schemas.openxmlformats.org/officeDocument/2006/relationships/hyperlink" Target="https://coinmarketcap.com/currencies/compucoin" TargetMode="External"/><Relationship Id="rId945" Type="http://schemas.openxmlformats.org/officeDocument/2006/relationships/hyperlink" Target="https://coinmarketcap.com/currencies/ethereum-movie-venture" TargetMode="External"/><Relationship Id="rId74" Type="http://schemas.openxmlformats.org/officeDocument/2006/relationships/hyperlink" Target="https://coinmarketcap.com/currencies/wings" TargetMode="External"/><Relationship Id="rId377" Type="http://schemas.openxmlformats.org/officeDocument/2006/relationships/hyperlink" Target="https://coinmarketcap.com/currencies/nubits" TargetMode="External"/><Relationship Id="rId500" Type="http://schemas.openxmlformats.org/officeDocument/2006/relationships/hyperlink" Target="https://coinmarketcap.com/currencies/cvcoin" TargetMode="External"/><Relationship Id="rId584" Type="http://schemas.openxmlformats.org/officeDocument/2006/relationships/hyperlink" Target="https://coinmarketcap.com/currencies/bitstar" TargetMode="External"/><Relationship Id="rId805" Type="http://schemas.openxmlformats.org/officeDocument/2006/relationships/hyperlink" Target="https://coinmarketcap.com/currencies/osmiumcoin" TargetMode="External"/><Relationship Id="rId5" Type="http://schemas.openxmlformats.org/officeDocument/2006/relationships/hyperlink" Target="https://coinmarketcap.com/currencies/dash" TargetMode="External"/><Relationship Id="rId237" Type="http://schemas.openxmlformats.org/officeDocument/2006/relationships/hyperlink" Target="https://coinmarketcap.com/currencies/blitzcash" TargetMode="External"/><Relationship Id="rId791" Type="http://schemas.openxmlformats.org/officeDocument/2006/relationships/hyperlink" Target="https://coinmarketcap.com/currencies/bbqcoin" TargetMode="External"/><Relationship Id="rId889" Type="http://schemas.openxmlformats.org/officeDocument/2006/relationships/hyperlink" Target="https://coinmarketcap.com/currencies/asset-backed-coin" TargetMode="External"/><Relationship Id="rId1074" Type="http://schemas.openxmlformats.org/officeDocument/2006/relationships/hyperlink" Target="https://coinmarketcap.com/currencies/kolschcoin" TargetMode="External"/><Relationship Id="rId444" Type="http://schemas.openxmlformats.org/officeDocument/2006/relationships/hyperlink" Target="https://coinmarketcap.com/currencies/mao-zedong" TargetMode="External"/><Relationship Id="rId651" Type="http://schemas.openxmlformats.org/officeDocument/2006/relationships/hyperlink" Target="https://coinmarketcap.com/currencies/tigercoin" TargetMode="External"/><Relationship Id="rId749" Type="http://schemas.openxmlformats.org/officeDocument/2006/relationships/hyperlink" Target="https://coinmarketcap.com/currencies/debitcoin" TargetMode="External"/><Relationship Id="rId290" Type="http://schemas.openxmlformats.org/officeDocument/2006/relationships/hyperlink" Target="https://coinmarketcap.com/currencies/steem-dollars" TargetMode="External"/><Relationship Id="rId304" Type="http://schemas.openxmlformats.org/officeDocument/2006/relationships/hyperlink" Target="https://coinmarketcap.com/currencies/wild-beast-block" TargetMode="External"/><Relationship Id="rId388" Type="http://schemas.openxmlformats.org/officeDocument/2006/relationships/hyperlink" Target="https://coinmarketcap.com/currencies/zoin" TargetMode="External"/><Relationship Id="rId511" Type="http://schemas.openxmlformats.org/officeDocument/2006/relationships/hyperlink" Target="https://coinmarketcap.com/currencies/bitpark-coin" TargetMode="External"/><Relationship Id="rId609" Type="http://schemas.openxmlformats.org/officeDocument/2006/relationships/hyperlink" Target="https://coinmarketcap.com/currencies/valorbit" TargetMode="External"/><Relationship Id="rId956" Type="http://schemas.openxmlformats.org/officeDocument/2006/relationships/hyperlink" Target="https://coinmarketcap.com/currencies/peoplecoin" TargetMode="External"/><Relationship Id="rId85" Type="http://schemas.openxmlformats.org/officeDocument/2006/relationships/hyperlink" Target="https://coinmarketcap.com/currencies/monetha" TargetMode="External"/><Relationship Id="rId150" Type="http://schemas.openxmlformats.org/officeDocument/2006/relationships/hyperlink" Target="https://coinmarketcap.com/currencies/stox" TargetMode="External"/><Relationship Id="rId595" Type="http://schemas.openxmlformats.org/officeDocument/2006/relationships/hyperlink" Target="https://coinmarketcap.com/currencies/truckcoin" TargetMode="External"/><Relationship Id="rId816" Type="http://schemas.openxmlformats.org/officeDocument/2006/relationships/hyperlink" Target="https://coinmarketcap.com/currencies/letitride" TargetMode="External"/><Relationship Id="rId1001" Type="http://schemas.openxmlformats.org/officeDocument/2006/relationships/hyperlink" Target="https://coinmarketcap.com/currencies/yogold" TargetMode="External"/><Relationship Id="rId248" Type="http://schemas.openxmlformats.org/officeDocument/2006/relationships/hyperlink" Target="https://coinmarketcap.com/currencies/bitbean" TargetMode="External"/><Relationship Id="rId455" Type="http://schemas.openxmlformats.org/officeDocument/2006/relationships/hyperlink" Target="https://coinmarketcap.com/currencies/cryptojacks" TargetMode="External"/><Relationship Id="rId662" Type="http://schemas.openxmlformats.org/officeDocument/2006/relationships/hyperlink" Target="https://coinmarketcap.com/currencies/biteur" TargetMode="External"/><Relationship Id="rId1085" Type="http://schemas.openxmlformats.org/officeDocument/2006/relationships/hyperlink" Target="https://coinmarketcap.com/currencies/pinkdog" TargetMode="External"/><Relationship Id="rId12" Type="http://schemas.openxmlformats.org/officeDocument/2006/relationships/hyperlink" Target="https://coinmarketcap.com/currencies/bitconnect" TargetMode="External"/><Relationship Id="rId108" Type="http://schemas.openxmlformats.org/officeDocument/2006/relationships/hyperlink" Target="https://coinmarketcap.com/currencies/patientory" TargetMode="External"/><Relationship Id="rId315" Type="http://schemas.openxmlformats.org/officeDocument/2006/relationships/hyperlink" Target="https://coinmarketcap.com/currencies/terracoin" TargetMode="External"/><Relationship Id="rId522" Type="http://schemas.openxmlformats.org/officeDocument/2006/relationships/hyperlink" Target="https://coinmarketcap.com/currencies/ltbcoin" TargetMode="External"/><Relationship Id="rId967" Type="http://schemas.openxmlformats.org/officeDocument/2006/relationships/hyperlink" Target="https://coinmarketcap.com/currencies/bolenum" TargetMode="External"/><Relationship Id="rId96" Type="http://schemas.openxmlformats.org/officeDocument/2006/relationships/hyperlink" Target="https://coinmarketcap.com/currencies/peercoin" TargetMode="External"/><Relationship Id="rId161" Type="http://schemas.openxmlformats.org/officeDocument/2006/relationships/hyperlink" Target="https://coinmarketcap.com/currencies/gambit" TargetMode="External"/><Relationship Id="rId399" Type="http://schemas.openxmlformats.org/officeDocument/2006/relationships/hyperlink" Target="https://coinmarketcap.com/currencies/krypstal" TargetMode="External"/><Relationship Id="rId827" Type="http://schemas.openxmlformats.org/officeDocument/2006/relationships/hyperlink" Target="https://coinmarketcap.com/currencies/blazecoin" TargetMode="External"/><Relationship Id="rId1012" Type="http://schemas.openxmlformats.org/officeDocument/2006/relationships/hyperlink" Target="https://coinmarketcap.com/currencies/animecoin" TargetMode="External"/><Relationship Id="rId259" Type="http://schemas.openxmlformats.org/officeDocument/2006/relationships/hyperlink" Target="https://coinmarketcap.com/currencies/pascal-coin" TargetMode="External"/><Relationship Id="rId466" Type="http://schemas.openxmlformats.org/officeDocument/2006/relationships/hyperlink" Target="https://coinmarketcap.com/currencies/berncash" TargetMode="External"/><Relationship Id="rId673" Type="http://schemas.openxmlformats.org/officeDocument/2006/relationships/hyperlink" Target="https://coinmarketcap.com/currencies/franko" TargetMode="External"/><Relationship Id="rId880" Type="http://schemas.openxmlformats.org/officeDocument/2006/relationships/hyperlink" Target="https://coinmarketcap.com/currencies/atbcoin" TargetMode="External"/><Relationship Id="rId1096" Type="http://schemas.openxmlformats.org/officeDocument/2006/relationships/hyperlink" Target="https://coinmarketcap.com/currencies/health-care-chain" TargetMode="External"/><Relationship Id="rId23" Type="http://schemas.openxmlformats.org/officeDocument/2006/relationships/hyperlink" Target="https://coinmarketcap.com/currencies/golem-network-tokens" TargetMode="External"/><Relationship Id="rId119" Type="http://schemas.openxmlformats.org/officeDocument/2006/relationships/hyperlink" Target="https://coinmarketcap.com/currencies/etheroll" TargetMode="External"/><Relationship Id="rId326" Type="http://schemas.openxmlformats.org/officeDocument/2006/relationships/hyperlink" Target="https://coinmarketcap.com/currencies/adzcoin" TargetMode="External"/><Relationship Id="rId533" Type="http://schemas.openxmlformats.org/officeDocument/2006/relationships/hyperlink" Target="https://coinmarketcap.com/currencies/tychocoin" TargetMode="External"/><Relationship Id="rId978" Type="http://schemas.openxmlformats.org/officeDocument/2006/relationships/hyperlink" Target="https://coinmarketcap.com/currencies/international-diamond" TargetMode="External"/><Relationship Id="rId740" Type="http://schemas.openxmlformats.org/officeDocument/2006/relationships/hyperlink" Target="https://coinmarketcap.com/currencies/billarycoin" TargetMode="External"/><Relationship Id="rId838" Type="http://schemas.openxmlformats.org/officeDocument/2006/relationships/hyperlink" Target="https://coinmarketcap.com/currencies/ccminer" TargetMode="External"/><Relationship Id="rId1023" Type="http://schemas.openxmlformats.org/officeDocument/2006/relationships/hyperlink" Target="https://coinmarketcap.com/currencies/huncoin" TargetMode="External"/><Relationship Id="rId172" Type="http://schemas.openxmlformats.org/officeDocument/2006/relationships/hyperlink" Target="https://coinmarketcap.com/currencies/guppy" TargetMode="External"/><Relationship Id="rId477" Type="http://schemas.openxmlformats.org/officeDocument/2006/relationships/hyperlink" Target="https://coinmarketcap.com/currencies/globaltoken" TargetMode="External"/><Relationship Id="rId600" Type="http://schemas.openxmlformats.org/officeDocument/2006/relationships/hyperlink" Target="https://coinmarketcap.com/currencies/bitbtc" TargetMode="External"/><Relationship Id="rId684" Type="http://schemas.openxmlformats.org/officeDocument/2006/relationships/hyperlink" Target="https://coinmarketcap.com/currencies/theresa-may-coin" TargetMode="External"/><Relationship Id="rId337" Type="http://schemas.openxmlformats.org/officeDocument/2006/relationships/hyperlink" Target="https://coinmarketcap.com/currencies/magi" TargetMode="External"/><Relationship Id="rId891" Type="http://schemas.openxmlformats.org/officeDocument/2006/relationships/hyperlink" Target="https://coinmarketcap.com/currencies/tronix" TargetMode="External"/><Relationship Id="rId905" Type="http://schemas.openxmlformats.org/officeDocument/2006/relationships/hyperlink" Target="https://coinmarketcap.com/currencies/namocoin" TargetMode="External"/><Relationship Id="rId989" Type="http://schemas.openxmlformats.org/officeDocument/2006/relationships/hyperlink" Target="https://coinmarketcap.com/currencies/royalcoin-2" TargetMode="External"/><Relationship Id="rId34" Type="http://schemas.openxmlformats.org/officeDocument/2006/relationships/hyperlink" Target="https://coinmarketcap.com/currencies/pivx" TargetMode="External"/><Relationship Id="rId544" Type="http://schemas.openxmlformats.org/officeDocument/2006/relationships/hyperlink" Target="https://coinmarketcap.com/currencies/goodomy" TargetMode="External"/><Relationship Id="rId751" Type="http://schemas.openxmlformats.org/officeDocument/2006/relationships/hyperlink" Target="https://coinmarketcap.com/currencies/uniburst" TargetMode="External"/><Relationship Id="rId849" Type="http://schemas.openxmlformats.org/officeDocument/2006/relationships/hyperlink" Target="https://coinmarketcap.com/currencies/sydpak" TargetMode="External"/><Relationship Id="rId183" Type="http://schemas.openxmlformats.org/officeDocument/2006/relationships/hyperlink" Target="https://coinmarketcap.com/currencies/aventus" TargetMode="External"/><Relationship Id="rId390" Type="http://schemas.openxmlformats.org/officeDocument/2006/relationships/hyperlink" Target="https://coinmarketcap.com/currencies/zetacoin" TargetMode="External"/><Relationship Id="rId404" Type="http://schemas.openxmlformats.org/officeDocument/2006/relationships/hyperlink" Target="https://coinmarketcap.com/currencies/unify" TargetMode="External"/><Relationship Id="rId611" Type="http://schemas.openxmlformats.org/officeDocument/2006/relationships/hyperlink" Target="https://coinmarketcap.com/currencies/purevidz" TargetMode="External"/><Relationship Id="rId1034" Type="http://schemas.openxmlformats.org/officeDocument/2006/relationships/hyperlink" Target="https://coinmarketcap.com/currencies/zsecoin" TargetMode="External"/><Relationship Id="rId250" Type="http://schemas.openxmlformats.org/officeDocument/2006/relationships/hyperlink" Target="https://coinmarketcap.com/currencies/foldingcoin" TargetMode="External"/><Relationship Id="rId488" Type="http://schemas.openxmlformats.org/officeDocument/2006/relationships/hyperlink" Target="https://coinmarketcap.com/currencies/abncoin" TargetMode="External"/><Relationship Id="rId695" Type="http://schemas.openxmlformats.org/officeDocument/2006/relationships/hyperlink" Target="https://coinmarketcap.com/currencies/bitcoin-planet" TargetMode="External"/><Relationship Id="rId709" Type="http://schemas.openxmlformats.org/officeDocument/2006/relationships/hyperlink" Target="https://coinmarketcap.com/currencies/bumbacoin" TargetMode="External"/><Relationship Id="rId916" Type="http://schemas.openxmlformats.org/officeDocument/2006/relationships/hyperlink" Target="https://coinmarketcap.com/currencies/marxcoin" TargetMode="External"/><Relationship Id="rId1101" Type="http://schemas.openxmlformats.org/officeDocument/2006/relationships/hyperlink" Target="https://coinmarketcap.com/currencies/trickycoin" TargetMode="External"/><Relationship Id="rId45" Type="http://schemas.openxmlformats.org/officeDocument/2006/relationships/hyperlink" Target="https://coinmarketcap.com/currencies/bitcoindark" TargetMode="External"/><Relationship Id="rId110" Type="http://schemas.openxmlformats.org/officeDocument/2006/relationships/hyperlink" Target="https://coinmarketcap.com/currencies/taas" TargetMode="External"/><Relationship Id="rId348" Type="http://schemas.openxmlformats.org/officeDocument/2006/relationships/hyperlink" Target="https://coinmarketcap.com/currencies/earthcoin" TargetMode="External"/><Relationship Id="rId555" Type="http://schemas.openxmlformats.org/officeDocument/2006/relationships/hyperlink" Target="https://coinmarketcap.com/currencies/rubies" TargetMode="External"/><Relationship Id="rId762" Type="http://schemas.openxmlformats.org/officeDocument/2006/relationships/hyperlink" Target="https://coinmarketcap.com/currencies/printerium" TargetMode="External"/><Relationship Id="rId194" Type="http://schemas.openxmlformats.org/officeDocument/2006/relationships/hyperlink" Target="https://coinmarketcap.com/currencies/primas" TargetMode="External"/><Relationship Id="rId208" Type="http://schemas.openxmlformats.org/officeDocument/2006/relationships/hyperlink" Target="https://coinmarketcap.com/currencies/fedoracoin" TargetMode="External"/><Relationship Id="rId415" Type="http://schemas.openxmlformats.org/officeDocument/2006/relationships/hyperlink" Target="https://coinmarketcap.com/currencies/megacoin" TargetMode="External"/><Relationship Id="rId622" Type="http://schemas.openxmlformats.org/officeDocument/2006/relationships/hyperlink" Target="https://coinmarketcap.com/currencies/eurocoin" TargetMode="External"/><Relationship Id="rId1045" Type="http://schemas.openxmlformats.org/officeDocument/2006/relationships/hyperlink" Target="https://coinmarketcap.com/currencies/operand" TargetMode="External"/><Relationship Id="rId261" Type="http://schemas.openxmlformats.org/officeDocument/2006/relationships/hyperlink" Target="https://coinmarketcap.com/currencies/condensate" TargetMode="External"/><Relationship Id="rId499" Type="http://schemas.openxmlformats.org/officeDocument/2006/relationships/hyperlink" Target="https://coinmarketcap.com/currencies/asiacoin" TargetMode="External"/><Relationship Id="rId927" Type="http://schemas.openxmlformats.org/officeDocument/2006/relationships/hyperlink" Target="https://coinmarketcap.com/currencies/facecoin" TargetMode="External"/><Relationship Id="rId1112" Type="http://schemas.openxmlformats.org/officeDocument/2006/relationships/hyperlink" Target="https://coinmarketcap.com/currencies/qora" TargetMode="External"/><Relationship Id="rId56" Type="http://schemas.openxmlformats.org/officeDocument/2006/relationships/hyperlink" Target="https://coinmarketcap.com/currencies/aeternity" TargetMode="External"/><Relationship Id="rId359" Type="http://schemas.openxmlformats.org/officeDocument/2006/relationships/hyperlink" Target="https://coinmarketcap.com/currencies/smileycoin" TargetMode="External"/><Relationship Id="rId566" Type="http://schemas.openxmlformats.org/officeDocument/2006/relationships/hyperlink" Target="https://coinmarketcap.com/currencies/smartcoin" TargetMode="External"/><Relationship Id="rId773" Type="http://schemas.openxmlformats.org/officeDocument/2006/relationships/hyperlink" Target="https://coinmarketcap.com/currencies/creatio" TargetMode="External"/><Relationship Id="rId121" Type="http://schemas.openxmlformats.org/officeDocument/2006/relationships/hyperlink" Target="https://coinmarketcap.com/currencies/district0x" TargetMode="External"/><Relationship Id="rId219" Type="http://schemas.openxmlformats.org/officeDocument/2006/relationships/hyperlink" Target="https://coinmarketcap.com/currencies/musicoin" TargetMode="External"/><Relationship Id="rId426" Type="http://schemas.openxmlformats.org/officeDocument/2006/relationships/hyperlink" Target="https://coinmarketcap.com/currencies/women" TargetMode="External"/><Relationship Id="rId633" Type="http://schemas.openxmlformats.org/officeDocument/2006/relationships/hyperlink" Target="https://coinmarketcap.com/currencies/octocoin" TargetMode="External"/><Relationship Id="rId980" Type="http://schemas.openxmlformats.org/officeDocument/2006/relationships/hyperlink" Target="https://coinmarketcap.com/currencies/first-bitcoin" TargetMode="External"/><Relationship Id="rId1056" Type="http://schemas.openxmlformats.org/officeDocument/2006/relationships/hyperlink" Target="https://coinmarketcap.com/currencies/cycling-coin" TargetMode="External"/><Relationship Id="rId840" Type="http://schemas.openxmlformats.org/officeDocument/2006/relationships/hyperlink" Target="https://coinmarketcap.com/currencies/save-and-gain" TargetMode="External"/><Relationship Id="rId938" Type="http://schemas.openxmlformats.org/officeDocument/2006/relationships/hyperlink" Target="https://coinmarketcap.com/currencies/atmcoin" TargetMode="External"/><Relationship Id="rId67" Type="http://schemas.openxmlformats.org/officeDocument/2006/relationships/hyperlink" Target="https://coinmarketcap.com/currencies/rise" TargetMode="External"/><Relationship Id="rId272" Type="http://schemas.openxmlformats.org/officeDocument/2006/relationships/hyperlink" Target="https://coinmarketcap.com/currencies/global-currency-reserve" TargetMode="External"/><Relationship Id="rId577" Type="http://schemas.openxmlformats.org/officeDocument/2006/relationships/hyperlink" Target="https://coinmarketcap.com/currencies/pakcoin" TargetMode="External"/><Relationship Id="rId700" Type="http://schemas.openxmlformats.org/officeDocument/2006/relationships/hyperlink" Target="https://coinmarketcap.com/currencies/crypto" TargetMode="External"/><Relationship Id="rId1123" Type="http://schemas.openxmlformats.org/officeDocument/2006/relationships/printerSettings" Target="../printerSettings/printerSettings2.bin"/><Relationship Id="rId132" Type="http://schemas.openxmlformats.org/officeDocument/2006/relationships/hyperlink" Target="https://coinmarketcap.com/currencies/lunyr" TargetMode="External"/><Relationship Id="rId784" Type="http://schemas.openxmlformats.org/officeDocument/2006/relationships/hyperlink" Target="https://coinmarketcap.com/currencies/pulse" TargetMode="External"/><Relationship Id="rId991" Type="http://schemas.openxmlformats.org/officeDocument/2006/relationships/hyperlink" Target="https://coinmarketcap.com/currencies/cheapcoin" TargetMode="External"/><Relationship Id="rId1067" Type="http://schemas.openxmlformats.org/officeDocument/2006/relationships/hyperlink" Target="https://coinmarketcap.com/currencies/cashme" TargetMode="External"/><Relationship Id="rId437" Type="http://schemas.openxmlformats.org/officeDocument/2006/relationships/hyperlink" Target="https://coinmarketcap.com/currencies/triangles" TargetMode="External"/><Relationship Id="rId644" Type="http://schemas.openxmlformats.org/officeDocument/2006/relationships/hyperlink" Target="https://coinmarketcap.com/currencies/rupee" TargetMode="External"/><Relationship Id="rId851" Type="http://schemas.openxmlformats.org/officeDocument/2006/relationships/hyperlink" Target="https://coinmarketcap.com/currencies/geertcoin" TargetMode="External"/><Relationship Id="rId283" Type="http://schemas.openxmlformats.org/officeDocument/2006/relationships/hyperlink" Target="https://coinmarketcap.com/currencies/putincoin" TargetMode="External"/><Relationship Id="rId490" Type="http://schemas.openxmlformats.org/officeDocument/2006/relationships/hyperlink" Target="https://coinmarketcap.com/currencies/bankcoin" TargetMode="External"/><Relationship Id="rId504" Type="http://schemas.openxmlformats.org/officeDocument/2006/relationships/hyperlink" Target="https://coinmarketcap.com/currencies/starta" TargetMode="External"/><Relationship Id="rId711" Type="http://schemas.openxmlformats.org/officeDocument/2006/relationships/hyperlink" Target="https://coinmarketcap.com/currencies/unrealcoin" TargetMode="External"/><Relationship Id="rId949" Type="http://schemas.openxmlformats.org/officeDocument/2006/relationships/hyperlink" Target="https://coinmarketcap.com/currencies/president-johnson" TargetMode="External"/><Relationship Id="rId78" Type="http://schemas.openxmlformats.org/officeDocument/2006/relationships/hyperlink" Target="https://coinmarketcap.com/currencies/metaverse" TargetMode="External"/><Relationship Id="rId143" Type="http://schemas.openxmlformats.org/officeDocument/2006/relationships/hyperlink" Target="https://coinmarketcap.com/currencies/sprouts" TargetMode="External"/><Relationship Id="rId350" Type="http://schemas.openxmlformats.org/officeDocument/2006/relationships/hyperlink" Target="https://coinmarketcap.com/currencies/mercury" TargetMode="External"/><Relationship Id="rId588" Type="http://schemas.openxmlformats.org/officeDocument/2006/relationships/hyperlink" Target="https://coinmarketcap.com/currencies/joulecoin" TargetMode="External"/><Relationship Id="rId795" Type="http://schemas.openxmlformats.org/officeDocument/2006/relationships/hyperlink" Target="https://coinmarketcap.com/currencies/neuro" TargetMode="External"/><Relationship Id="rId809" Type="http://schemas.openxmlformats.org/officeDocument/2006/relationships/hyperlink" Target="https://coinmarketcap.com/currencies/impulsecoin" TargetMode="External"/><Relationship Id="rId9" Type="http://schemas.openxmlformats.org/officeDocument/2006/relationships/hyperlink" Target="https://coinmarketcap.com/currencies/ethereum-classic" TargetMode="External"/><Relationship Id="rId210" Type="http://schemas.openxmlformats.org/officeDocument/2006/relationships/hyperlink" Target="https://coinmarketcap.com/currencies/bitcrystals" TargetMode="External"/><Relationship Id="rId448" Type="http://schemas.openxmlformats.org/officeDocument/2006/relationships/hyperlink" Target="https://coinmarketcap.com/currencies/bolivarcoin" TargetMode="External"/><Relationship Id="rId655" Type="http://schemas.openxmlformats.org/officeDocument/2006/relationships/hyperlink" Target="https://coinmarketcap.com/currencies/digicube" TargetMode="External"/><Relationship Id="rId862" Type="http://schemas.openxmlformats.org/officeDocument/2006/relationships/hyperlink" Target="https://coinmarketcap.com/currencies/btcdragon" TargetMode="External"/><Relationship Id="rId1078" Type="http://schemas.openxmlformats.org/officeDocument/2006/relationships/hyperlink" Target="https://coinmarketcap.com/currencies/lltoken" TargetMode="External"/><Relationship Id="rId294" Type="http://schemas.openxmlformats.org/officeDocument/2006/relationships/hyperlink" Target="https://coinmarketcap.com/currencies/breakout-stake" TargetMode="External"/><Relationship Id="rId308" Type="http://schemas.openxmlformats.org/officeDocument/2006/relationships/hyperlink" Target="https://coinmarketcap.com/currencies/zeitcoin" TargetMode="External"/><Relationship Id="rId515" Type="http://schemas.openxmlformats.org/officeDocument/2006/relationships/hyperlink" Target="https://coinmarketcap.com/currencies/fundyourselfnow" TargetMode="External"/><Relationship Id="rId722" Type="http://schemas.openxmlformats.org/officeDocument/2006/relationships/hyperlink" Target="https://coinmarketcap.com/currencies/firecoin" TargetMode="External"/><Relationship Id="rId89" Type="http://schemas.openxmlformats.org/officeDocument/2006/relationships/hyperlink" Target="https://coinmarketcap.com/currencies/triggers" TargetMode="External"/><Relationship Id="rId154" Type="http://schemas.openxmlformats.org/officeDocument/2006/relationships/hyperlink" Target="https://coinmarketcap.com/currencies/gridcoin" TargetMode="External"/><Relationship Id="rId361" Type="http://schemas.openxmlformats.org/officeDocument/2006/relationships/hyperlink" Target="https://coinmarketcap.com/currencies/helleniccoin" TargetMode="External"/><Relationship Id="rId599" Type="http://schemas.openxmlformats.org/officeDocument/2006/relationships/hyperlink" Target="https://coinmarketcap.com/currencies/jin-coin" TargetMode="External"/><Relationship Id="rId1005" Type="http://schemas.openxmlformats.org/officeDocument/2006/relationships/hyperlink" Target="https://coinmarketcap.com/currencies/nexxus" TargetMode="External"/><Relationship Id="rId459" Type="http://schemas.openxmlformats.org/officeDocument/2006/relationships/hyperlink" Target="https://coinmarketcap.com/currencies/mojocoin" TargetMode="External"/><Relationship Id="rId666" Type="http://schemas.openxmlformats.org/officeDocument/2006/relationships/hyperlink" Target="https://coinmarketcap.com/currencies/independent-money-system" TargetMode="External"/><Relationship Id="rId873" Type="http://schemas.openxmlformats.org/officeDocument/2006/relationships/hyperlink" Target="https://coinmarketcap.com/currencies/caliphcoin" TargetMode="External"/><Relationship Id="rId1089" Type="http://schemas.openxmlformats.org/officeDocument/2006/relationships/hyperlink" Target="https://coinmarketcap.com/currencies/psilocybin" TargetMode="External"/><Relationship Id="rId16" Type="http://schemas.openxmlformats.org/officeDocument/2006/relationships/hyperlink" Target="https://coinmarketcap.com/currencies/tether" TargetMode="External"/><Relationship Id="rId221" Type="http://schemas.openxmlformats.org/officeDocument/2006/relationships/hyperlink" Target="https://coinmarketcap.com/currencies/pinkcoin" TargetMode="External"/><Relationship Id="rId319" Type="http://schemas.openxmlformats.org/officeDocument/2006/relationships/hyperlink" Target="https://coinmarketcap.com/currencies/tokes" TargetMode="External"/><Relationship Id="rId526" Type="http://schemas.openxmlformats.org/officeDocument/2006/relationships/hyperlink" Target="https://coinmarketcap.com/currencies/octanox" TargetMode="External"/><Relationship Id="rId733" Type="http://schemas.openxmlformats.org/officeDocument/2006/relationships/hyperlink" Target="https://coinmarketcap.com/currencies/philosopher-stones" TargetMode="External"/><Relationship Id="rId940" Type="http://schemas.openxmlformats.org/officeDocument/2006/relationships/hyperlink" Target="https://coinmarketcap.com/currencies/president-trump" TargetMode="External"/><Relationship Id="rId1016" Type="http://schemas.openxmlformats.org/officeDocument/2006/relationships/hyperlink" Target="https://coinmarketcap.com/currencies/rcoin" TargetMode="External"/><Relationship Id="rId165" Type="http://schemas.openxmlformats.org/officeDocument/2006/relationships/hyperlink" Target="https://coinmarketcap.com/currencies/groestlcoin" TargetMode="External"/><Relationship Id="rId372" Type="http://schemas.openxmlformats.org/officeDocument/2006/relationships/hyperlink" Target="https://coinmarketcap.com/currencies/bytecent" TargetMode="External"/><Relationship Id="rId677" Type="http://schemas.openxmlformats.org/officeDocument/2006/relationships/hyperlink" Target="https://coinmarketcap.com/currencies/litecoin-plus" TargetMode="External"/><Relationship Id="rId800" Type="http://schemas.openxmlformats.org/officeDocument/2006/relationships/hyperlink" Target="https://coinmarketcap.com/currencies/orlycoin" TargetMode="External"/><Relationship Id="rId232" Type="http://schemas.openxmlformats.org/officeDocument/2006/relationships/hyperlink" Target="https://coinmarketcap.com/currencies/xtrabytes" TargetMode="External"/><Relationship Id="rId884" Type="http://schemas.openxmlformats.org/officeDocument/2006/relationships/hyperlink" Target="https://coinmarketcap.com/currencies/centra" TargetMode="External"/><Relationship Id="rId27" Type="http://schemas.openxmlformats.org/officeDocument/2006/relationships/hyperlink" Target="https://coinmarketcap.com/currencies/bitshares" TargetMode="External"/><Relationship Id="rId537" Type="http://schemas.openxmlformats.org/officeDocument/2006/relationships/hyperlink" Target="https://coinmarketcap.com/currencies/swaptoken" TargetMode="External"/><Relationship Id="rId744" Type="http://schemas.openxmlformats.org/officeDocument/2006/relationships/hyperlink" Target="https://coinmarketcap.com/currencies/vip-tokens" TargetMode="External"/><Relationship Id="rId951" Type="http://schemas.openxmlformats.org/officeDocument/2006/relationships/hyperlink" Target="https://coinmarketcap.com/currencies/cyder" TargetMode="External"/><Relationship Id="rId80" Type="http://schemas.openxmlformats.org/officeDocument/2006/relationships/hyperlink" Target="https://coinmarketcap.com/currencies/storj" TargetMode="External"/><Relationship Id="rId176" Type="http://schemas.openxmlformats.org/officeDocument/2006/relationships/hyperlink" Target="https://coinmarketcap.com/currencies/e-coin" TargetMode="External"/><Relationship Id="rId383" Type="http://schemas.openxmlformats.org/officeDocument/2006/relationships/hyperlink" Target="https://coinmarketcap.com/currencies/hicoin" TargetMode="External"/><Relationship Id="rId590" Type="http://schemas.openxmlformats.org/officeDocument/2006/relationships/hyperlink" Target="https://coinmarketcap.com/currencies/gcoin" TargetMode="External"/><Relationship Id="rId604" Type="http://schemas.openxmlformats.org/officeDocument/2006/relationships/hyperlink" Target="https://coinmarketcap.com/currencies/malcoin" TargetMode="External"/><Relationship Id="rId811" Type="http://schemas.openxmlformats.org/officeDocument/2006/relationships/hyperlink" Target="https://coinmarketcap.com/currencies/luna-coin" TargetMode="External"/><Relationship Id="rId1027" Type="http://schemas.openxmlformats.org/officeDocument/2006/relationships/hyperlink" Target="https://coinmarketcap.com/currencies/elacoin" TargetMode="External"/><Relationship Id="rId243" Type="http://schemas.openxmlformats.org/officeDocument/2006/relationships/hyperlink" Target="https://coinmarketcap.com/currencies/signatum" TargetMode="External"/><Relationship Id="rId450" Type="http://schemas.openxmlformats.org/officeDocument/2006/relationships/hyperlink" Target="https://coinmarketcap.com/currencies/zurcoin" TargetMode="External"/><Relationship Id="rId688" Type="http://schemas.openxmlformats.org/officeDocument/2006/relationships/hyperlink" Target="https://coinmarketcap.com/currencies/bitcointx" TargetMode="External"/><Relationship Id="rId895" Type="http://schemas.openxmlformats.org/officeDocument/2006/relationships/hyperlink" Target="https://coinmarketcap.com/currencies/futcoin" TargetMode="External"/><Relationship Id="rId909" Type="http://schemas.openxmlformats.org/officeDocument/2006/relationships/hyperlink" Target="https://coinmarketcap.com/currencies/first-bitcoin-capital" TargetMode="External"/><Relationship Id="rId1080" Type="http://schemas.openxmlformats.org/officeDocument/2006/relationships/hyperlink" Target="https://coinmarketcap.com/currencies/miyucoin" TargetMode="External"/><Relationship Id="rId38" Type="http://schemas.openxmlformats.org/officeDocument/2006/relationships/hyperlink" Target="https://coinmarketcap.com/currencies/iconomi" TargetMode="External"/><Relationship Id="rId103" Type="http://schemas.openxmlformats.org/officeDocument/2006/relationships/hyperlink" Target="https://coinmarketcap.com/currencies/rialto" TargetMode="External"/><Relationship Id="rId310" Type="http://schemas.openxmlformats.org/officeDocument/2006/relationships/hyperlink" Target="https://coinmarketcap.com/currencies/cannabiscoin" TargetMode="External"/><Relationship Id="rId548" Type="http://schemas.openxmlformats.org/officeDocument/2006/relationships/hyperlink" Target="https://coinmarketcap.com/currencies/devcoin" TargetMode="External"/><Relationship Id="rId755" Type="http://schemas.openxmlformats.org/officeDocument/2006/relationships/hyperlink" Target="https://coinmarketcap.com/currencies/kingn-coin" TargetMode="External"/><Relationship Id="rId962" Type="http://schemas.openxmlformats.org/officeDocument/2006/relationships/hyperlink" Target="https://coinmarketcap.com/currencies/rublebit" TargetMode="External"/><Relationship Id="rId91" Type="http://schemas.openxmlformats.org/officeDocument/2006/relationships/hyperlink" Target="https://coinmarketcap.com/currencies/cloakcoin" TargetMode="External"/><Relationship Id="rId187" Type="http://schemas.openxmlformats.org/officeDocument/2006/relationships/hyperlink" Target="https://coinmarketcap.com/currencies/raiblocks" TargetMode="External"/><Relationship Id="rId394" Type="http://schemas.openxmlformats.org/officeDocument/2006/relationships/hyperlink" Target="https://coinmarketcap.com/currencies/netko" TargetMode="External"/><Relationship Id="rId408" Type="http://schemas.openxmlformats.org/officeDocument/2006/relationships/hyperlink" Target="https://coinmarketcap.com/currencies/vsync" TargetMode="External"/><Relationship Id="rId615" Type="http://schemas.openxmlformats.org/officeDocument/2006/relationships/hyperlink" Target="https://coinmarketcap.com/currencies/wayguide" TargetMode="External"/><Relationship Id="rId822" Type="http://schemas.openxmlformats.org/officeDocument/2006/relationships/hyperlink" Target="https://coinmarketcap.com/currencies/dollar-online" TargetMode="External"/><Relationship Id="rId1038" Type="http://schemas.openxmlformats.org/officeDocument/2006/relationships/hyperlink" Target="https://coinmarketcap.com/currencies/gameleaguecoin" TargetMode="External"/><Relationship Id="rId254" Type="http://schemas.openxmlformats.org/officeDocument/2006/relationships/hyperlink" Target="https://coinmarketcap.com/currencies/curecoin" TargetMode="External"/><Relationship Id="rId699" Type="http://schemas.openxmlformats.org/officeDocument/2006/relationships/hyperlink" Target="https://coinmarketcap.com/currencies/wyvern" TargetMode="External"/><Relationship Id="rId1091" Type="http://schemas.openxmlformats.org/officeDocument/2006/relationships/hyperlink" Target="https://coinmarketcap.com/currencies/gycoin" TargetMode="External"/><Relationship Id="rId1105" Type="http://schemas.openxmlformats.org/officeDocument/2006/relationships/hyperlink" Target="https://coinmarketcap.com/currencies/sync" TargetMode="External"/><Relationship Id="rId49" Type="http://schemas.openxmlformats.org/officeDocument/2006/relationships/hyperlink" Target="https://coinmarketcap.com/currencies/gamecredits" TargetMode="External"/><Relationship Id="rId114" Type="http://schemas.openxmlformats.org/officeDocument/2006/relationships/hyperlink" Target="https://coinmarketcap.com/currencies/trust" TargetMode="External"/><Relationship Id="rId461" Type="http://schemas.openxmlformats.org/officeDocument/2006/relationships/hyperlink" Target="https://coinmarketcap.com/currencies/qubitcoin" TargetMode="External"/><Relationship Id="rId559" Type="http://schemas.openxmlformats.org/officeDocument/2006/relationships/hyperlink" Target="https://coinmarketcap.com/currencies/stress" TargetMode="External"/><Relationship Id="rId766" Type="http://schemas.openxmlformats.org/officeDocument/2006/relationships/hyperlink" Target="https://coinmarketcap.com/currencies/ronpaulcoin" TargetMode="External"/><Relationship Id="rId198" Type="http://schemas.openxmlformats.org/officeDocument/2006/relationships/hyperlink" Target="https://coinmarketcap.com/currencies/obits" TargetMode="External"/><Relationship Id="rId321" Type="http://schemas.openxmlformats.org/officeDocument/2006/relationships/hyperlink" Target="https://coinmarketcap.com/currencies/bluecoin" TargetMode="External"/><Relationship Id="rId419" Type="http://schemas.openxmlformats.org/officeDocument/2006/relationships/hyperlink" Target="https://coinmarketcap.com/currencies/karbowanec" TargetMode="External"/><Relationship Id="rId626" Type="http://schemas.openxmlformats.org/officeDocument/2006/relationships/hyperlink" Target="https://coinmarketcap.com/currencies/universe" TargetMode="External"/><Relationship Id="rId973" Type="http://schemas.openxmlformats.org/officeDocument/2006/relationships/hyperlink" Target="https://coinmarketcap.com/currencies/motocoin" TargetMode="External"/><Relationship Id="rId1049" Type="http://schemas.openxmlformats.org/officeDocument/2006/relationships/hyperlink" Target="https://coinmarketcap.com/currencies/prismchain" TargetMode="External"/><Relationship Id="rId833" Type="http://schemas.openxmlformats.org/officeDocument/2006/relationships/hyperlink" Target="https://coinmarketcap.com/currencies/bowscoin" TargetMode="External"/><Relationship Id="rId1116" Type="http://schemas.openxmlformats.org/officeDocument/2006/relationships/hyperlink" Target="https://coinmarketcap.com/currencies/vegascoin" TargetMode="External"/><Relationship Id="rId265" Type="http://schemas.openxmlformats.org/officeDocument/2006/relationships/hyperlink" Target="https://coinmarketcap.com/currencies/europecoin" TargetMode="External"/><Relationship Id="rId472" Type="http://schemas.openxmlformats.org/officeDocument/2006/relationships/hyperlink" Target="https://coinmarketcap.com/currencies/crevacoin" TargetMode="External"/><Relationship Id="rId900" Type="http://schemas.openxmlformats.org/officeDocument/2006/relationships/hyperlink" Target="https://coinmarketcap.com/currencies/aureus" TargetMode="External"/><Relationship Id="rId125" Type="http://schemas.openxmlformats.org/officeDocument/2006/relationships/hyperlink" Target="https://coinmarketcap.com/currencies/xaurum" TargetMode="External"/><Relationship Id="rId332" Type="http://schemas.openxmlformats.org/officeDocument/2006/relationships/hyperlink" Target="https://coinmarketcap.com/currencies/cryptogenic-bullion" TargetMode="External"/><Relationship Id="rId777" Type="http://schemas.openxmlformats.org/officeDocument/2006/relationships/hyperlink" Target="https://coinmarketcap.com/currencies/milocoin" TargetMode="External"/><Relationship Id="rId984" Type="http://schemas.openxmlformats.org/officeDocument/2006/relationships/hyperlink" Target="https://coinmarketcap.com/currencies/bestchain" TargetMode="External"/><Relationship Id="rId637" Type="http://schemas.openxmlformats.org/officeDocument/2006/relationships/hyperlink" Target="https://coinmarketcap.com/currencies/bit20" TargetMode="External"/><Relationship Id="rId844" Type="http://schemas.openxmlformats.org/officeDocument/2006/relationships/hyperlink" Target="https://coinmarketcap.com/currencies/burstocean" TargetMode="External"/><Relationship Id="rId276" Type="http://schemas.openxmlformats.org/officeDocument/2006/relationships/hyperlink" Target="https://coinmarketcap.com/currencies/pesetacoin" TargetMode="External"/><Relationship Id="rId483" Type="http://schemas.openxmlformats.org/officeDocument/2006/relationships/hyperlink" Target="https://coinmarketcap.com/currencies/levoplus" TargetMode="External"/><Relationship Id="rId690" Type="http://schemas.openxmlformats.org/officeDocument/2006/relationships/hyperlink" Target="https://coinmarketcap.com/currencies/evil-coin" TargetMode="External"/><Relationship Id="rId704" Type="http://schemas.openxmlformats.org/officeDocument/2006/relationships/hyperlink" Target="https://coinmarketcap.com/currencies/spots" TargetMode="External"/><Relationship Id="rId911" Type="http://schemas.openxmlformats.org/officeDocument/2006/relationships/hyperlink" Target="https://coinmarketcap.com/currencies/digitalprice" TargetMode="External"/><Relationship Id="rId40" Type="http://schemas.openxmlformats.org/officeDocument/2006/relationships/hyperlink" Target="https://coinmarketcap.com/currencies/byteball" TargetMode="External"/><Relationship Id="rId136" Type="http://schemas.openxmlformats.org/officeDocument/2006/relationships/hyperlink" Target="https://coinmarketcap.com/currencies/expanse" TargetMode="External"/><Relationship Id="rId343" Type="http://schemas.openxmlformats.org/officeDocument/2006/relationships/hyperlink" Target="https://coinmarketcap.com/currencies/luckchain" TargetMode="External"/><Relationship Id="rId550" Type="http://schemas.openxmlformats.org/officeDocument/2006/relationships/hyperlink" Target="https://coinmarketcap.com/currencies/draftcoin" TargetMode="External"/><Relationship Id="rId788" Type="http://schemas.openxmlformats.org/officeDocument/2006/relationships/hyperlink" Target="https://coinmarketcap.com/currencies/bitcoal" TargetMode="External"/><Relationship Id="rId995" Type="http://schemas.openxmlformats.org/officeDocument/2006/relationships/hyperlink" Target="https://coinmarketcap.com/currencies/global-business-revolution" TargetMode="External"/><Relationship Id="rId203" Type="http://schemas.openxmlformats.org/officeDocument/2006/relationships/hyperlink" Target="https://coinmarketcap.com/currencies/vericoin" TargetMode="External"/><Relationship Id="rId648" Type="http://schemas.openxmlformats.org/officeDocument/2006/relationships/hyperlink" Target="https://coinmarketcap.com/currencies/grantcoin" TargetMode="External"/><Relationship Id="rId855" Type="http://schemas.openxmlformats.org/officeDocument/2006/relationships/hyperlink" Target="https://coinmarketcap.com/currencies/p7coin" TargetMode="External"/><Relationship Id="rId1040" Type="http://schemas.openxmlformats.org/officeDocument/2006/relationships/hyperlink" Target="https://coinmarketcap.com/currencies/fonziecoin" TargetMode="External"/><Relationship Id="rId287" Type="http://schemas.openxmlformats.org/officeDocument/2006/relationships/hyperlink" Target="https://coinmarketcap.com/currencies/syndicate" TargetMode="External"/><Relationship Id="rId410" Type="http://schemas.openxmlformats.org/officeDocument/2006/relationships/hyperlink" Target="https://coinmarketcap.com/currencies/shorty" TargetMode="External"/><Relationship Id="rId494" Type="http://schemas.openxmlformats.org/officeDocument/2006/relationships/hyperlink" Target="https://coinmarketcap.com/currencies/arcade-token" TargetMode="External"/><Relationship Id="rId508" Type="http://schemas.openxmlformats.org/officeDocument/2006/relationships/hyperlink" Target="https://coinmarketcap.com/currencies/link-platform" TargetMode="External"/><Relationship Id="rId715" Type="http://schemas.openxmlformats.org/officeDocument/2006/relationships/hyperlink" Target="https://coinmarketcap.com/currencies/evotion" TargetMode="External"/><Relationship Id="rId922" Type="http://schemas.openxmlformats.org/officeDocument/2006/relationships/hyperlink" Target="https://coinmarketcap.com/currencies/pabyosi-coin-special" TargetMode="External"/><Relationship Id="rId147" Type="http://schemas.openxmlformats.org/officeDocument/2006/relationships/hyperlink" Target="https://coinmarketcap.com/currencies/humaniq" TargetMode="External"/><Relationship Id="rId354" Type="http://schemas.openxmlformats.org/officeDocument/2006/relationships/hyperlink" Target="https://coinmarketcap.com/currencies/audiocoin" TargetMode="External"/><Relationship Id="rId799" Type="http://schemas.openxmlformats.org/officeDocument/2006/relationships/hyperlink" Target="https://coinmarketcap.com/currencies/ammo-rewards" TargetMode="External"/><Relationship Id="rId51" Type="http://schemas.openxmlformats.org/officeDocument/2006/relationships/hyperlink" Target="https://coinmarketcap.com/currencies/blocknet" TargetMode="External"/><Relationship Id="rId561" Type="http://schemas.openxmlformats.org/officeDocument/2006/relationships/hyperlink" Target="https://coinmarketcap.com/currencies/ultracoin" TargetMode="External"/><Relationship Id="rId659" Type="http://schemas.openxmlformats.org/officeDocument/2006/relationships/hyperlink" Target="https://coinmarketcap.com/currencies/coin2-1" TargetMode="External"/><Relationship Id="rId866" Type="http://schemas.openxmlformats.org/officeDocument/2006/relationships/hyperlink" Target="https://coinmarketcap.com/currencies/pizzacoin" TargetMode="External"/><Relationship Id="rId214" Type="http://schemas.openxmlformats.org/officeDocument/2006/relationships/hyperlink" Target="https://coinmarketcap.com/currencies/feathercoin" TargetMode="External"/><Relationship Id="rId298" Type="http://schemas.openxmlformats.org/officeDocument/2006/relationships/hyperlink" Target="https://coinmarketcap.com/currencies/bata" TargetMode="External"/><Relationship Id="rId421" Type="http://schemas.openxmlformats.org/officeDocument/2006/relationships/hyperlink" Target="https://coinmarketcap.com/currencies/b3coin" TargetMode="External"/><Relationship Id="rId519" Type="http://schemas.openxmlformats.org/officeDocument/2006/relationships/hyperlink" Target="https://coinmarketcap.com/currencies/cryptcoin" TargetMode="External"/><Relationship Id="rId1051" Type="http://schemas.openxmlformats.org/officeDocument/2006/relationships/hyperlink" Target="https://coinmarketcap.com/currencies/etherx" TargetMode="External"/><Relationship Id="rId158" Type="http://schemas.openxmlformats.org/officeDocument/2006/relationships/hyperlink" Target="https://coinmarketcap.com/currencies/blackcoin" TargetMode="External"/><Relationship Id="rId726" Type="http://schemas.openxmlformats.org/officeDocument/2006/relationships/hyperlink" Target="https://coinmarketcap.com/currencies/doubloon" TargetMode="External"/><Relationship Id="rId933" Type="http://schemas.openxmlformats.org/officeDocument/2006/relationships/hyperlink" Target="https://coinmarketcap.com/currencies/alphabitcoinfund" TargetMode="External"/><Relationship Id="rId1009" Type="http://schemas.openxmlformats.org/officeDocument/2006/relationships/hyperlink" Target="https://coinmarketcap.com/currencies/rabbitcoin" TargetMode="External"/><Relationship Id="rId62" Type="http://schemas.openxmlformats.org/officeDocument/2006/relationships/hyperlink" Target="https://coinmarketcap.com/currencies/bitdeal" TargetMode="External"/><Relationship Id="rId365" Type="http://schemas.openxmlformats.org/officeDocument/2006/relationships/hyperlink" Target="https://coinmarketcap.com/currencies/fincoin" TargetMode="External"/><Relationship Id="rId572" Type="http://schemas.openxmlformats.org/officeDocument/2006/relationships/hyperlink" Target="https://coinmarketcap.com/currencies/russiaco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34"/>
  <sheetViews>
    <sheetView showGridLines="0" tabSelected="1" workbookViewId="0">
      <selection activeCell="H16" sqref="H16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3" customWidth="1"/>
    <col min="6" max="6" width="19.42578125" style="3" customWidth="1"/>
    <col min="7" max="9" width="14.42578125" style="3" customWidth="1"/>
    <col min="10" max="10" width="17.42578125" style="3" customWidth="1"/>
    <col min="11" max="11" width="17.140625" style="3" customWidth="1"/>
    <col min="12" max="12" width="16.42578125" style="3" customWidth="1"/>
    <col min="13" max="15" width="10.85546875" style="3" customWidth="1"/>
    <col min="16" max="16" width="21.5703125" style="3" customWidth="1"/>
    <col min="17" max="17" width="14" style="3" customWidth="1"/>
    <col min="18" max="18" width="11.5703125" style="3" customWidth="1"/>
    <col min="19" max="19" width="11.28515625" style="3" customWidth="1"/>
  </cols>
  <sheetData>
    <row r="1" spans="3:19" ht="23.25" x14ac:dyDescent="0.35">
      <c r="C1" s="2" t="s">
        <v>3330</v>
      </c>
    </row>
    <row r="3" spans="3:19" x14ac:dyDescent="0.25">
      <c r="J3" s="22" t="s">
        <v>3294</v>
      </c>
      <c r="K3" s="23"/>
      <c r="L3" s="44">
        <v>1000</v>
      </c>
      <c r="N3" s="34" t="s">
        <v>3328</v>
      </c>
    </row>
    <row r="4" spans="3:19" x14ac:dyDescent="0.25">
      <c r="C4" s="28" t="s">
        <v>3324</v>
      </c>
      <c r="J4" s="22" t="s">
        <v>3285</v>
      </c>
      <c r="K4" s="23"/>
      <c r="L4" s="10">
        <f>J34*I34</f>
        <v>1123.5950612287786</v>
      </c>
      <c r="M4" s="48" t="s">
        <v>3329</v>
      </c>
      <c r="N4" s="49" t="s">
        <v>3331</v>
      </c>
    </row>
    <row r="5" spans="3:19" x14ac:dyDescent="0.25">
      <c r="J5" s="22" t="s">
        <v>3326</v>
      </c>
      <c r="K5" s="23"/>
      <c r="L5" s="11">
        <f>IF(L3&lt;&gt;"",((L4-L3)/L3),"")</f>
        <v>0.1235950612287786</v>
      </c>
      <c r="M5" s="50" t="s">
        <v>3332</v>
      </c>
      <c r="N5" s="49" t="s">
        <v>3333</v>
      </c>
    </row>
    <row r="6" spans="3:19" x14ac:dyDescent="0.25">
      <c r="R6" s="45"/>
      <c r="S6" s="34" t="s">
        <v>3325</v>
      </c>
    </row>
    <row r="7" spans="3:19" x14ac:dyDescent="0.25">
      <c r="C7" s="28" t="s">
        <v>3293</v>
      </c>
      <c r="J7" s="7"/>
      <c r="K7" s="7"/>
      <c r="L7" s="7"/>
    </row>
    <row r="8" spans="3:19" ht="30" x14ac:dyDescent="0.25">
      <c r="C8" s="4" t="s">
        <v>3194</v>
      </c>
      <c r="D8" s="8" t="s">
        <v>3182</v>
      </c>
      <c r="E8" s="5" t="s">
        <v>3177</v>
      </c>
      <c r="F8" s="5" t="s">
        <v>3233</v>
      </c>
      <c r="G8" s="5" t="s">
        <v>3234</v>
      </c>
      <c r="H8" s="5" t="s">
        <v>3235</v>
      </c>
      <c r="I8" s="5" t="s">
        <v>3237</v>
      </c>
      <c r="J8" s="5" t="s">
        <v>3236</v>
      </c>
      <c r="K8" s="5" t="s">
        <v>2096</v>
      </c>
      <c r="L8" s="5" t="s">
        <v>3178</v>
      </c>
      <c r="M8" s="5" t="s">
        <v>2099</v>
      </c>
      <c r="N8" s="5" t="s">
        <v>3179</v>
      </c>
      <c r="O8" s="5" t="s">
        <v>3180</v>
      </c>
      <c r="P8" s="5" t="s">
        <v>3181</v>
      </c>
      <c r="Q8" s="5" t="s">
        <v>3327</v>
      </c>
      <c r="R8" s="5" t="s">
        <v>3196</v>
      </c>
      <c r="S8" s="6" t="s">
        <v>3195</v>
      </c>
    </row>
    <row r="9" spans="3:19" x14ac:dyDescent="0.25">
      <c r="C9" s="9">
        <v>1</v>
      </c>
      <c r="D9" s="29" t="s">
        <v>2</v>
      </c>
      <c r="E9" s="30" t="s">
        <v>1255</v>
      </c>
      <c r="F9" s="31">
        <f xml:space="preserve"> 5003.58953268 + 4309</f>
        <v>9312.58953268</v>
      </c>
      <c r="G9" s="32">
        <v>4.6E-6</v>
      </c>
      <c r="H9" s="12">
        <f>IF(D9&lt;&gt;"",VLOOKUP(E9,DataSource!$D$5:$O$5000,2,FALSE),"")</f>
        <v>3.9700000000000001E-6</v>
      </c>
      <c r="I9" s="12">
        <f>IF(D9&lt;&gt;"",F9*H9,"")</f>
        <v>3.69709804447396E-2</v>
      </c>
      <c r="J9" s="13">
        <f>IF(E9&lt;&gt;"",VLOOKUP(E9,DataSource!$D$5:$O$5000,3,FALSE),"")</f>
        <v>1.57582E-2</v>
      </c>
      <c r="K9" s="24">
        <f>IF(E9&lt;&gt;"",VLOOKUP(E9,DataSource!$D$5:$O$5000,5,FALSE),"")</f>
        <v>6681477</v>
      </c>
      <c r="L9" s="24">
        <f>IF(E9&lt;&gt;"",VLOOKUP(E9,DataSource!$D$5:$O$5000,4,FALSE),"")</f>
        <v>36656.300000000003</v>
      </c>
      <c r="M9" s="14">
        <f>IF(E9&lt;&gt;"",VLOOKUP(E9,DataSource!$D$5:$O$5000,8,FALSE),"")</f>
        <v>-2.61</v>
      </c>
      <c r="N9" s="14">
        <f>IF(E9&lt;&gt;"",VLOOKUP(E9,DataSource!$D$5:$O$5000,9,FALSE),"")</f>
        <v>-4.25</v>
      </c>
      <c r="O9" s="14">
        <f>IF(E9&lt;&gt;"",VLOOKUP(E9,DataSource!$D$5:$O$5000,10,FALSE),"")</f>
        <v>-15.5</v>
      </c>
      <c r="P9" s="15">
        <f>IF(E9&lt;&gt;"",VLOOKUP(E9,DataSource!$D$5:$O$5000,12,FALSE),"")</f>
        <v>42998.867893518516</v>
      </c>
      <c r="Q9" s="16">
        <f>IF(G9&lt;&gt;"",(H9-G9)/G9,"")</f>
        <v>-0.13695652173913042</v>
      </c>
      <c r="R9" s="30"/>
      <c r="S9" s="33"/>
    </row>
    <row r="10" spans="3:19" x14ac:dyDescent="0.25">
      <c r="C10" s="9">
        <v>2</v>
      </c>
      <c r="D10" s="29" t="s">
        <v>278</v>
      </c>
      <c r="E10" s="30" t="s">
        <v>1342</v>
      </c>
      <c r="F10" s="31">
        <v>1182311.1875823301</v>
      </c>
      <c r="G10" s="32">
        <v>2E-8</v>
      </c>
      <c r="H10" s="12">
        <f>IF(D10&lt;&gt;"",VLOOKUP(E10,DataSource!$D$5:$O$5000,2,FALSE),"")</f>
        <v>2.9999999999999997E-8</v>
      </c>
      <c r="I10" s="12">
        <f t="shared" ref="I10:I33" si="0">IF(D10&lt;&gt;"",F10*H10,"")</f>
        <v>3.54693356274699E-2</v>
      </c>
      <c r="J10" s="13">
        <f>IF(E10&lt;&gt;"",VLOOKUP(E10,DataSource!$D$5:$O$5000,3,FALSE),"")</f>
        <v>1.1914299999999999E-4</v>
      </c>
      <c r="K10" s="24">
        <f>IF(E10&lt;&gt;"",VLOOKUP(E10,DataSource!$D$5:$O$5000,5,FALSE),"")</f>
        <v>2691663</v>
      </c>
      <c r="L10" s="24">
        <f>IF(E10&lt;&gt;"",VLOOKUP(E10,DataSource!$D$5:$O$5000,4,FALSE),"")</f>
        <v>571.69299999999998</v>
      </c>
      <c r="M10" s="14">
        <f>IF(E10&lt;&gt;"",VLOOKUP(E10,DataSource!$D$5:$O$5000,8,FALSE),"")</f>
        <v>-0.18</v>
      </c>
      <c r="N10" s="14">
        <f>IF(E10&lt;&gt;"",VLOOKUP(E10,DataSource!$D$5:$O$5000,9,FALSE),"")</f>
        <v>-8.2200000000000006</v>
      </c>
      <c r="O10" s="14">
        <f>IF(E10&lt;&gt;"",VLOOKUP(E10,DataSource!$D$5:$O$5000,10,FALSE),"")</f>
        <v>-22.18</v>
      </c>
      <c r="P10" s="15">
        <f>IF(E10&lt;&gt;"",VLOOKUP(E10,DataSource!$D$5:$O$5000,12,FALSE),"")</f>
        <v>42998.86755787037</v>
      </c>
      <c r="Q10" s="16">
        <f t="shared" ref="Q10:Q33" si="1">IF(G10&lt;&gt;"",(H10-G10)/G10,"")</f>
        <v>0.49999999999999983</v>
      </c>
      <c r="R10" s="30"/>
      <c r="S10" s="33"/>
    </row>
    <row r="11" spans="3:19" x14ac:dyDescent="0.25">
      <c r="C11" s="9">
        <v>3</v>
      </c>
      <c r="D11" s="29" t="s">
        <v>74</v>
      </c>
      <c r="E11" s="30" t="s">
        <v>1140</v>
      </c>
      <c r="F11" s="31">
        <v>1000</v>
      </c>
      <c r="G11" s="32">
        <v>1.1400000000000001E-6</v>
      </c>
      <c r="H11" s="12">
        <f>IF(D11&lt;&gt;"",VLOOKUP(E11,DataSource!$D$5:$O$5000,2,FALSE),"")</f>
        <v>1.6300000000000001E-6</v>
      </c>
      <c r="I11" s="12">
        <f t="shared" si="0"/>
        <v>1.6300000000000002E-3</v>
      </c>
      <c r="J11" s="13">
        <f>IF(E11&lt;&gt;"",VLOOKUP(E11,DataSource!$D$5:$O$5000,3,FALSE),"")</f>
        <v>6.4734099999999998E-3</v>
      </c>
      <c r="K11" s="24">
        <f>IF(E11&lt;&gt;"",VLOOKUP(E11,DataSource!$D$5:$O$5000,5,FALSE),"")</f>
        <v>86805012</v>
      </c>
      <c r="L11" s="24">
        <f>IF(E11&lt;&gt;"",VLOOKUP(E11,DataSource!$D$5:$O$5000,4,FALSE),"")</f>
        <v>1781860</v>
      </c>
      <c r="M11" s="14">
        <f>IF(E11&lt;&gt;"",VLOOKUP(E11,DataSource!$D$5:$O$5000,8,FALSE),"")</f>
        <v>-0.04</v>
      </c>
      <c r="N11" s="14">
        <f>IF(E11&lt;&gt;"",VLOOKUP(E11,DataSource!$D$5:$O$5000,9,FALSE),"")</f>
        <v>1.42</v>
      </c>
      <c r="O11" s="14">
        <f>IF(E11&lt;&gt;"",VLOOKUP(E11,DataSource!$D$5:$O$5000,10,FALSE),"")</f>
        <v>4.6500000000000004</v>
      </c>
      <c r="P11" s="15">
        <f>IF(E11&lt;&gt;"",VLOOKUP(E11,DataSource!$D$5:$O$5000,12,FALSE),"")</f>
        <v>42998.867604166669</v>
      </c>
      <c r="Q11" s="16">
        <f t="shared" si="1"/>
        <v>0.42982456140350872</v>
      </c>
      <c r="R11" s="30"/>
      <c r="S11" s="33"/>
    </row>
    <row r="12" spans="3:19" x14ac:dyDescent="0.25">
      <c r="C12" s="9">
        <v>4</v>
      </c>
      <c r="D12" s="29" t="s">
        <v>339</v>
      </c>
      <c r="E12" s="30" t="s">
        <v>1400</v>
      </c>
      <c r="F12" s="31">
        <f>1400+ 878.74520426 + 3360.61583402</f>
        <v>5639.3610382799998</v>
      </c>
      <c r="G12" s="32">
        <v>1.6609999999999999E-5</v>
      </c>
      <c r="H12" s="12">
        <f>IF(D12&lt;&gt;"",VLOOKUP(E12,DataSource!$D$5:$O$5000,2,FALSE),"")</f>
        <v>2.5979999999999999E-5</v>
      </c>
      <c r="I12" s="12">
        <f t="shared" si="0"/>
        <v>0.14651059977451439</v>
      </c>
      <c r="J12" s="13">
        <f>IF(E12&lt;&gt;"",VLOOKUP(E12,DataSource!$D$5:$O$5000,3,FALSE),"")</f>
        <v>0.103185</v>
      </c>
      <c r="K12" s="24">
        <f>IF(E12&lt;&gt;"",VLOOKUP(E12,DataSource!$D$5:$O$5000,5,FALSE),"")</f>
        <v>4550459</v>
      </c>
      <c r="L12" s="24">
        <f>IF(E12&lt;&gt;"",VLOOKUP(E12,DataSource!$D$5:$O$5000,4,FALSE),"")</f>
        <v>103983</v>
      </c>
      <c r="M12" s="14">
        <f>IF(E12&lt;&gt;"",VLOOKUP(E12,DataSource!$D$5:$O$5000,8,FALSE),"")</f>
        <v>-0.26</v>
      </c>
      <c r="N12" s="14">
        <f>IF(E12&lt;&gt;"",VLOOKUP(E12,DataSource!$D$5:$O$5000,9,FALSE),"")</f>
        <v>10.45</v>
      </c>
      <c r="O12" s="14">
        <f>IF(E12&lt;&gt;"",VLOOKUP(E12,DataSource!$D$5:$O$5000,10,FALSE),"")</f>
        <v>38.950000000000003</v>
      </c>
      <c r="P12" s="15">
        <f>IF(E12&lt;&gt;"",VLOOKUP(E12,DataSource!$D$5:$O$5000,12,FALSE),"")</f>
        <v>42998.867800925924</v>
      </c>
      <c r="Q12" s="16">
        <f t="shared" si="1"/>
        <v>0.56411800120409394</v>
      </c>
      <c r="R12" s="30"/>
      <c r="S12" s="33"/>
    </row>
    <row r="13" spans="3:19" x14ac:dyDescent="0.25">
      <c r="C13" s="9">
        <v>5</v>
      </c>
      <c r="D13" s="29" t="s">
        <v>255</v>
      </c>
      <c r="E13" s="30" t="s">
        <v>1319</v>
      </c>
      <c r="F13" s="31">
        <v>1000</v>
      </c>
      <c r="G13" s="32">
        <v>1.19E-6</v>
      </c>
      <c r="H13" s="12">
        <f>IF(D13&lt;&gt;"",VLOOKUP(E13,DataSource!$D$5:$O$5000,2,FALSE),"")</f>
        <v>4.7600000000000002E-6</v>
      </c>
      <c r="I13" s="12">
        <f t="shared" si="0"/>
        <v>4.7600000000000003E-3</v>
      </c>
      <c r="J13" s="13">
        <f>IF(E13&lt;&gt;"",VLOOKUP(E13,DataSource!$D$5:$O$5000,3,FALSE),"")</f>
        <v>1.8915899999999999E-2</v>
      </c>
      <c r="K13" s="24">
        <f>IF(E13&lt;&gt;"",VLOOKUP(E13,DataSource!$D$5:$O$5000,5,FALSE),"")</f>
        <v>9144350</v>
      </c>
      <c r="L13" s="24">
        <f>IF(E13&lt;&gt;"",VLOOKUP(E13,DataSource!$D$5:$O$5000,4,FALSE),"")</f>
        <v>28782.3</v>
      </c>
      <c r="M13" s="14">
        <f>IF(E13&lt;&gt;"",VLOOKUP(E13,DataSource!$D$5:$O$5000,8,FALSE),"")</f>
        <v>0.04</v>
      </c>
      <c r="N13" s="14">
        <f>IF(E13&lt;&gt;"",VLOOKUP(E13,DataSource!$D$5:$O$5000,9,FALSE),"")</f>
        <v>-21.94</v>
      </c>
      <c r="O13" s="14">
        <f>IF(E13&lt;&gt;"",VLOOKUP(E13,DataSource!$D$5:$O$5000,10,FALSE),"")</f>
        <v>169.64</v>
      </c>
      <c r="P13" s="15">
        <f>IF(E13&lt;&gt;"",VLOOKUP(E13,DataSource!$D$5:$O$5000,12,FALSE),"")</f>
        <v>42998.867986111109</v>
      </c>
      <c r="Q13" s="16">
        <f t="shared" si="1"/>
        <v>3</v>
      </c>
      <c r="R13" s="30"/>
      <c r="S13" s="33"/>
    </row>
    <row r="14" spans="3:19" x14ac:dyDescent="0.25">
      <c r="C14" s="9">
        <v>6</v>
      </c>
      <c r="D14" s="29" t="s">
        <v>432</v>
      </c>
      <c r="E14" s="30" t="s">
        <v>1488</v>
      </c>
      <c r="F14" s="31">
        <v>30.661544419999998</v>
      </c>
      <c r="G14" s="32">
        <v>6.9500000000000004E-6</v>
      </c>
      <c r="H14" s="12">
        <f>IF(D14&lt;&gt;"",VLOOKUP(E14,DataSource!$D$5:$O$5000,2,FALSE),"")</f>
        <v>1.3210000000000001E-5</v>
      </c>
      <c r="I14" s="12">
        <f t="shared" si="0"/>
        <v>4.0503900178820001E-4</v>
      </c>
      <c r="J14" s="13">
        <f>IF(E14&lt;&gt;"",VLOOKUP(E14,DataSource!$D$5:$O$5000,3,FALSE),"")</f>
        <v>5.2454800000000003E-2</v>
      </c>
      <c r="K14" s="24">
        <f>IF(E14&lt;&gt;"",VLOOKUP(E14,DataSource!$D$5:$O$5000,5,FALSE),"")</f>
        <v>717453</v>
      </c>
      <c r="L14" s="24">
        <f>IF(E14&lt;&gt;"",VLOOKUP(E14,DataSource!$D$5:$O$5000,4,FALSE),"")</f>
        <v>10466.299999999999</v>
      </c>
      <c r="M14" s="14">
        <f>IF(E14&lt;&gt;"",VLOOKUP(E14,DataSource!$D$5:$O$5000,8,FALSE),"")</f>
        <v>1.68</v>
      </c>
      <c r="N14" s="14">
        <f>IF(E14&lt;&gt;"",VLOOKUP(E14,DataSource!$D$5:$O$5000,9,FALSE),"")</f>
        <v>17.3</v>
      </c>
      <c r="O14" s="14">
        <f>IF(E14&lt;&gt;"",VLOOKUP(E14,DataSource!$D$5:$O$5000,10,FALSE),"")</f>
        <v>42.35</v>
      </c>
      <c r="P14" s="15">
        <f>IF(E14&lt;&gt;"",VLOOKUP(E14,DataSource!$D$5:$O$5000,12,FALSE),"")</f>
        <v>42998.867812500001</v>
      </c>
      <c r="Q14" s="16">
        <f t="shared" si="1"/>
        <v>0.90071942446043163</v>
      </c>
      <c r="R14" s="30"/>
      <c r="S14" s="33"/>
    </row>
    <row r="15" spans="3:19" x14ac:dyDescent="0.25">
      <c r="C15" s="9">
        <v>7</v>
      </c>
      <c r="D15" s="29" t="s">
        <v>520</v>
      </c>
      <c r="E15" s="30" t="s">
        <v>1575</v>
      </c>
      <c r="F15" s="31">
        <v>4118.3251474600002</v>
      </c>
      <c r="G15" s="32">
        <v>8.8999999999999995E-7</v>
      </c>
      <c r="H15" s="12">
        <f>IF(D15&lt;&gt;"",VLOOKUP(E15,DataSource!$D$5:$O$5000,2,FALSE),"")</f>
        <v>7.7000000000000004E-7</v>
      </c>
      <c r="I15" s="12">
        <f t="shared" si="0"/>
        <v>3.1711103635442004E-3</v>
      </c>
      <c r="J15" s="13">
        <f>IF(E15&lt;&gt;"",VLOOKUP(E15,DataSource!$D$5:$O$5000,3,FALSE),"")</f>
        <v>3.0636600000000002E-3</v>
      </c>
      <c r="K15" s="24">
        <f>IF(E15&lt;&gt;"",VLOOKUP(E15,DataSource!$D$5:$O$5000,5,FALSE),"")</f>
        <v>9768</v>
      </c>
      <c r="L15" s="24">
        <f>IF(E15&lt;&gt;"",VLOOKUP(E15,DataSource!$D$5:$O$5000,4,FALSE),"")</f>
        <v>5222.91</v>
      </c>
      <c r="M15" s="14">
        <f>IF(E15&lt;&gt;"",VLOOKUP(E15,DataSource!$D$5:$O$5000,8,FALSE),"")</f>
        <v>9.3800000000000008</v>
      </c>
      <c r="N15" s="14">
        <f>IF(E15&lt;&gt;"",VLOOKUP(E15,DataSource!$D$5:$O$5000,9,FALSE),"")</f>
        <v>36.25</v>
      </c>
      <c r="O15" s="14">
        <f>IF(E15&lt;&gt;"",VLOOKUP(E15,DataSource!$D$5:$O$5000,10,FALSE),"")</f>
        <v>-1.99</v>
      </c>
      <c r="P15" s="15">
        <f>IF(E15&lt;&gt;"",VLOOKUP(E15,DataSource!$D$5:$O$5000,12,FALSE),"")</f>
        <v>42998.867986111109</v>
      </c>
      <c r="Q15" s="16">
        <f t="shared" si="1"/>
        <v>-0.13483146067415722</v>
      </c>
      <c r="R15" s="30"/>
      <c r="S15" s="33"/>
    </row>
    <row r="16" spans="3:19" x14ac:dyDescent="0.25">
      <c r="C16" s="9">
        <v>8</v>
      </c>
      <c r="D16" s="29" t="s">
        <v>3251</v>
      </c>
      <c r="E16" s="30" t="s">
        <v>3238</v>
      </c>
      <c r="F16" s="31">
        <v>31.91883391</v>
      </c>
      <c r="G16" s="32">
        <v>2.9999999999999997E-4</v>
      </c>
      <c r="H16" s="12">
        <f>IF(D16&lt;&gt;"",VLOOKUP(E16,DataSource!$D$5:$O$5000,2,FALSE),"")</f>
        <v>4.1393000000000002E-4</v>
      </c>
      <c r="I16" s="12">
        <f t="shared" si="0"/>
        <v>1.32121629203663E-2</v>
      </c>
      <c r="J16" s="13">
        <f>IF(E16&lt;&gt;"",VLOOKUP(E16,DataSource!$D$5:$O$5000,3,FALSE),"")</f>
        <v>1.65974</v>
      </c>
      <c r="K16" s="24">
        <f>IF(E16&lt;&gt;"",VLOOKUP(E16,DataSource!$D$5:$O$5000,5,FALSE),"")</f>
        <v>30914</v>
      </c>
      <c r="L16" s="24">
        <f>IF(E16&lt;&gt;"",VLOOKUP(E16,DataSource!$D$5:$O$5000,4,FALSE),"")</f>
        <v>0</v>
      </c>
      <c r="M16" s="14">
        <f>IF(E16&lt;&gt;"",VLOOKUP(E16,DataSource!$D$5:$O$5000,8,FALSE),"")</f>
        <v>0</v>
      </c>
      <c r="N16" s="14">
        <f>IF(E16&lt;&gt;"",VLOOKUP(E16,DataSource!$D$5:$O$5000,9,FALSE),"")</f>
        <v>2.42</v>
      </c>
      <c r="O16" s="14">
        <f>IF(E16&lt;&gt;"",VLOOKUP(E16,DataSource!$D$5:$O$5000,10,FALSE),"")</f>
        <v>-34.46</v>
      </c>
      <c r="P16" s="15">
        <f>IF(E16&lt;&gt;"",VLOOKUP(E16,DataSource!$D$5:$O$5000,12,FALSE),"")</f>
        <v>42998.593761574077</v>
      </c>
      <c r="Q16" s="16">
        <f t="shared" si="1"/>
        <v>0.37976666666666686</v>
      </c>
      <c r="R16" s="30"/>
      <c r="S16" s="33"/>
    </row>
    <row r="17" spans="3:19" x14ac:dyDescent="0.25">
      <c r="C17" s="9">
        <v>9</v>
      </c>
      <c r="D17" s="29" t="s">
        <v>36</v>
      </c>
      <c r="E17" s="30" t="s">
        <v>1103</v>
      </c>
      <c r="F17" s="31">
        <f>36975.1515+ 16753.40984697</f>
        <v>53728.561346970004</v>
      </c>
      <c r="G17" s="32">
        <v>2.8000000000000002E-7</v>
      </c>
      <c r="H17" s="12">
        <f>IF(D17&lt;&gt;"",VLOOKUP(E17,DataSource!$D$5:$O$5000,2,FALSE),"")</f>
        <v>2.2000000000000001E-7</v>
      </c>
      <c r="I17" s="12">
        <f t="shared" si="0"/>
        <v>1.1820283496333401E-2</v>
      </c>
      <c r="J17" s="13">
        <f>IF(E17&lt;&gt;"",VLOOKUP(E17,DataSource!$D$5:$O$5000,3,FALSE),"")</f>
        <v>8.5908899999999995E-4</v>
      </c>
      <c r="K17" s="24">
        <f>IF(E17&lt;&gt;"",VLOOKUP(E17,DataSource!$D$5:$O$5000,5,FALSE),"")</f>
        <v>95494931</v>
      </c>
      <c r="L17" s="24">
        <f>IF(E17&lt;&gt;"",VLOOKUP(E17,DataSource!$D$5:$O$5000,4,FALSE),"")</f>
        <v>4846020</v>
      </c>
      <c r="M17" s="14">
        <f>IF(E17&lt;&gt;"",VLOOKUP(E17,DataSource!$D$5:$O$5000,8,FALSE),"")</f>
        <v>0.77</v>
      </c>
      <c r="N17" s="14">
        <f>IF(E17&lt;&gt;"",VLOOKUP(E17,DataSource!$D$5:$O$5000,9,FALSE),"")</f>
        <v>-1.3</v>
      </c>
      <c r="O17" s="14">
        <f>IF(E17&lt;&gt;"",VLOOKUP(E17,DataSource!$D$5:$O$5000,10,FALSE),"")</f>
        <v>-38.19</v>
      </c>
      <c r="P17" s="15">
        <f>IF(E17&lt;&gt;"",VLOOKUP(E17,DataSource!$D$5:$O$5000,12,FALSE),"")</f>
        <v>42998.867465277777</v>
      </c>
      <c r="Q17" s="16">
        <f t="shared" si="1"/>
        <v>-0.2142857142857143</v>
      </c>
      <c r="R17" s="30"/>
      <c r="S17" s="33"/>
    </row>
    <row r="18" spans="3:19" x14ac:dyDescent="0.25">
      <c r="C18" s="9">
        <v>10</v>
      </c>
      <c r="D18" s="29" t="s">
        <v>3241</v>
      </c>
      <c r="E18" s="30" t="s">
        <v>3242</v>
      </c>
      <c r="F18" s="31">
        <v>103.20584319</v>
      </c>
      <c r="G18" s="32">
        <v>2.3118999999999999E-4</v>
      </c>
      <c r="H18" s="12">
        <f>IF(D18&lt;&gt;"",VLOOKUP(E18,DataSource!$D$5:$O$5000,2,FALSE),"")</f>
        <v>2.5002999999999999E-4</v>
      </c>
      <c r="I18" s="12">
        <f t="shared" si="0"/>
        <v>2.5804556972795697E-2</v>
      </c>
      <c r="J18" s="13">
        <f>IF(E18&lt;&gt;"",VLOOKUP(E18,DataSource!$D$5:$O$5000,3,FALSE),"")</f>
        <v>0.99226599999999998</v>
      </c>
      <c r="K18" s="24">
        <f>IF(E18&lt;&gt;"",VLOOKUP(E18,DataSource!$D$5:$O$5000,5,FALSE),"")</f>
        <v>12298078</v>
      </c>
      <c r="L18" s="24">
        <f>IF(E18&lt;&gt;"",VLOOKUP(E18,DataSource!$D$5:$O$5000,4,FALSE),"")</f>
        <v>108165</v>
      </c>
      <c r="M18" s="14">
        <f>IF(E18&lt;&gt;"",VLOOKUP(E18,DataSource!$D$5:$O$5000,8,FALSE),"")</f>
        <v>0.67</v>
      </c>
      <c r="N18" s="14">
        <f>IF(E18&lt;&gt;"",VLOOKUP(E18,DataSource!$D$5:$O$5000,9,FALSE),"")</f>
        <v>-17.09</v>
      </c>
      <c r="O18" s="14">
        <f>IF(E18&lt;&gt;"",VLOOKUP(E18,DataSource!$D$5:$O$5000,10,FALSE),"")</f>
        <v>-21.85</v>
      </c>
      <c r="P18" s="15">
        <f>IF(E18&lt;&gt;"",VLOOKUP(E18,DataSource!$D$5:$O$5000,12,FALSE),"")</f>
        <v>42998.864548611113</v>
      </c>
      <c r="Q18" s="16">
        <f t="shared" si="1"/>
        <v>8.1491413988494327E-2</v>
      </c>
      <c r="R18" s="30"/>
      <c r="S18" s="33"/>
    </row>
    <row r="19" spans="3:19" x14ac:dyDescent="0.25">
      <c r="C19" s="9">
        <v>11</v>
      </c>
      <c r="D19" s="29" t="s">
        <v>1</v>
      </c>
      <c r="E19" s="30" t="s">
        <v>1071</v>
      </c>
      <c r="F19" s="31">
        <v>3.2580899999999999E-3</v>
      </c>
      <c r="G19" s="32"/>
      <c r="H19" s="12">
        <f>IF(D19&lt;&gt;"",VLOOKUP(E19,DataSource!$D$5:$O$5000,2,FALSE),"")</f>
        <v>1</v>
      </c>
      <c r="I19" s="12">
        <f t="shared" si="0"/>
        <v>3.2580899999999999E-3</v>
      </c>
      <c r="J19" s="13">
        <f>IF(E19&lt;&gt;"",VLOOKUP(E19,DataSource!$D$5:$O$5000,3,FALSE),"")</f>
        <v>3970.13</v>
      </c>
      <c r="K19" s="24">
        <f>IF(E19&lt;&gt;"",VLOOKUP(E19,DataSource!$D$5:$O$5000,5,FALSE),"")</f>
        <v>65814532315</v>
      </c>
      <c r="L19" s="24">
        <f>IF(E19&lt;&gt;"",VLOOKUP(E19,DataSource!$D$5:$O$5000,4,FALSE),"")</f>
        <v>1278250000</v>
      </c>
      <c r="M19" s="14">
        <f>IF(E19&lt;&gt;"",VLOOKUP(E19,DataSource!$D$5:$O$5000,8,FALSE),"")</f>
        <v>-0.04</v>
      </c>
      <c r="N19" s="14">
        <f>IF(E19&lt;&gt;"",VLOOKUP(E19,DataSource!$D$5:$O$5000,9,FALSE),"")</f>
        <v>1.35</v>
      </c>
      <c r="O19" s="14">
        <f>IF(E19&lt;&gt;"",VLOOKUP(E19,DataSource!$D$5:$O$5000,10,FALSE),"")</f>
        <v>1.87</v>
      </c>
      <c r="P19" s="15">
        <f>IF(E19&lt;&gt;"",VLOOKUP(E19,DataSource!$D$5:$O$5000,12,FALSE),"")</f>
        <v>42998.867685185185</v>
      </c>
      <c r="Q19" s="16" t="str">
        <f t="shared" si="1"/>
        <v/>
      </c>
      <c r="R19" s="30"/>
      <c r="S19" s="33"/>
    </row>
    <row r="20" spans="3:19" x14ac:dyDescent="0.25">
      <c r="C20" s="9">
        <v>12</v>
      </c>
      <c r="D20" s="29"/>
      <c r="E20" s="30"/>
      <c r="F20" s="31"/>
      <c r="G20" s="32"/>
      <c r="H20" s="12" t="str">
        <f>IF(D20&lt;&gt;"",VLOOKUP(E20,DataSource!$D$5:$O$5000,2,FALSE),"")</f>
        <v/>
      </c>
      <c r="I20" s="12" t="str">
        <f t="shared" si="0"/>
        <v/>
      </c>
      <c r="J20" s="13" t="str">
        <f>IF(E20&lt;&gt;"",VLOOKUP(E20,DataSource!$D$5:$O$5000,3,FALSE),"")</f>
        <v/>
      </c>
      <c r="K20" s="24" t="str">
        <f>IF(E20&lt;&gt;"",VLOOKUP(E20,DataSource!$D$5:$O$5000,5,FALSE),"")</f>
        <v/>
      </c>
      <c r="L20" s="24" t="str">
        <f>IF(E20&lt;&gt;"",VLOOKUP(E20,DataSource!$D$5:$O$5000,4,FALSE),"")</f>
        <v/>
      </c>
      <c r="M20" s="14" t="str">
        <f>IF(E20&lt;&gt;"",VLOOKUP(E20,DataSource!$D$5:$O$5000,8,FALSE),"")</f>
        <v/>
      </c>
      <c r="N20" s="14" t="str">
        <f>IF(E20&lt;&gt;"",VLOOKUP(E20,DataSource!$D$5:$O$5000,9,FALSE),"")</f>
        <v/>
      </c>
      <c r="O20" s="14" t="str">
        <f>IF(E20&lt;&gt;"",VLOOKUP(E20,DataSource!$D$5:$O$5000,10,FALSE),"")</f>
        <v/>
      </c>
      <c r="P20" s="15" t="str">
        <f>IF(E20&lt;&gt;"",VLOOKUP(E20,DataSource!$D$5:$O$5000,12,FALSE),"")</f>
        <v/>
      </c>
      <c r="Q20" s="16" t="str">
        <f t="shared" si="1"/>
        <v/>
      </c>
      <c r="R20" s="30"/>
      <c r="S20" s="33"/>
    </row>
    <row r="21" spans="3:19" x14ac:dyDescent="0.25">
      <c r="C21" s="9">
        <v>13</v>
      </c>
      <c r="D21" s="29"/>
      <c r="E21" s="30"/>
      <c r="F21" s="31"/>
      <c r="G21" s="32"/>
      <c r="H21" s="12" t="str">
        <f>IF(D21&lt;&gt;"",VLOOKUP(E21,DataSource!$D$5:$O$5000,2,FALSE),"")</f>
        <v/>
      </c>
      <c r="I21" s="12" t="str">
        <f t="shared" si="0"/>
        <v/>
      </c>
      <c r="J21" s="13" t="str">
        <f>IF(E21&lt;&gt;"",VLOOKUP(E21,DataSource!$D$5:$O$5000,3,FALSE),"")</f>
        <v/>
      </c>
      <c r="K21" s="24" t="str">
        <f>IF(E21&lt;&gt;"",VLOOKUP(E21,DataSource!$D$5:$O$5000,5,FALSE),"")</f>
        <v/>
      </c>
      <c r="L21" s="24" t="str">
        <f>IF(E21&lt;&gt;"",VLOOKUP(E21,DataSource!$D$5:$O$5000,4,FALSE),"")</f>
        <v/>
      </c>
      <c r="M21" s="14" t="str">
        <f>IF(E21&lt;&gt;"",VLOOKUP(E21,DataSource!$D$5:$O$5000,8,FALSE),"")</f>
        <v/>
      </c>
      <c r="N21" s="14" t="str">
        <f>IF(E21&lt;&gt;"",VLOOKUP(E21,DataSource!$D$5:$O$5000,9,FALSE),"")</f>
        <v/>
      </c>
      <c r="O21" s="14" t="str">
        <f>IF(E21&lt;&gt;"",VLOOKUP(E21,DataSource!$D$5:$O$5000,10,FALSE),"")</f>
        <v/>
      </c>
      <c r="P21" s="15" t="str">
        <f>IF(E21&lt;&gt;"",VLOOKUP(E21,DataSource!$D$5:$O$5000,12,FALSE),"")</f>
        <v/>
      </c>
      <c r="Q21" s="16" t="str">
        <f t="shared" si="1"/>
        <v/>
      </c>
      <c r="R21" s="30"/>
      <c r="S21" s="33"/>
    </row>
    <row r="22" spans="3:19" x14ac:dyDescent="0.25">
      <c r="C22" s="9">
        <v>14</v>
      </c>
      <c r="D22" s="29"/>
      <c r="E22" s="30"/>
      <c r="F22" s="31"/>
      <c r="G22" s="32"/>
      <c r="H22" s="12" t="str">
        <f>IF(D22&lt;&gt;"",VLOOKUP(E22,DataSource!$D$5:$O$5000,2,FALSE),"")</f>
        <v/>
      </c>
      <c r="I22" s="12" t="str">
        <f>IF(D22&lt;&gt;"",F22*H22,"")</f>
        <v/>
      </c>
      <c r="J22" s="13" t="str">
        <f>IF(E22&lt;&gt;"",VLOOKUP(E22,DataSource!$D$5:$O$5000,3,FALSE),"")</f>
        <v/>
      </c>
      <c r="K22" s="24" t="str">
        <f>IF(E22&lt;&gt;"",VLOOKUP(E22,DataSource!$D$5:$O$5000,5,FALSE),"")</f>
        <v/>
      </c>
      <c r="L22" s="24" t="str">
        <f>IF(E22&lt;&gt;"",VLOOKUP(E22,DataSource!$D$5:$O$5000,4,FALSE),"")</f>
        <v/>
      </c>
      <c r="M22" s="14" t="str">
        <f>IF(E22&lt;&gt;"",VLOOKUP(E22,DataSource!$D$5:$O$5000,8,FALSE),"")</f>
        <v/>
      </c>
      <c r="N22" s="14" t="str">
        <f>IF(E22&lt;&gt;"",VLOOKUP(E22,DataSource!$D$5:$O$5000,9,FALSE),"")</f>
        <v/>
      </c>
      <c r="O22" s="14" t="str">
        <f>IF(E22&lt;&gt;"",VLOOKUP(E22,DataSource!$D$5:$O$5000,10,FALSE),"")</f>
        <v/>
      </c>
      <c r="P22" s="15" t="str">
        <f>IF(E22&lt;&gt;"",VLOOKUP(E22,DataSource!$D$5:$O$5000,12,FALSE),"")</f>
        <v/>
      </c>
      <c r="Q22" s="16" t="str">
        <f t="shared" si="1"/>
        <v/>
      </c>
      <c r="R22" s="30"/>
      <c r="S22" s="33"/>
    </row>
    <row r="23" spans="3:19" x14ac:dyDescent="0.25">
      <c r="C23" s="9">
        <v>15</v>
      </c>
      <c r="D23" s="29"/>
      <c r="E23" s="30"/>
      <c r="F23" s="31"/>
      <c r="G23" s="32"/>
      <c r="H23" s="12" t="str">
        <f>IF(D23&lt;&gt;"",VLOOKUP(E23,DataSource!$D$5:$O$5000,2,FALSE),"")</f>
        <v/>
      </c>
      <c r="I23" s="12" t="str">
        <f>IF(D23&lt;&gt;"",F23*H23,"")</f>
        <v/>
      </c>
      <c r="J23" s="13" t="str">
        <f>IF(E23&lt;&gt;"",VLOOKUP(E23,DataSource!$D$5:$O$5000,3,FALSE),"")</f>
        <v/>
      </c>
      <c r="K23" s="24" t="str">
        <f>IF(E23&lt;&gt;"",VLOOKUP(E23,DataSource!$D$5:$O$5000,5,FALSE),"")</f>
        <v/>
      </c>
      <c r="L23" s="24" t="str">
        <f>IF(E23&lt;&gt;"",VLOOKUP(E23,DataSource!$D$5:$O$5000,4,FALSE),"")</f>
        <v/>
      </c>
      <c r="M23" s="14" t="str">
        <f>IF(E23&lt;&gt;"",VLOOKUP(E23,DataSource!$D$5:$O$5000,8,FALSE),"")</f>
        <v/>
      </c>
      <c r="N23" s="14" t="str">
        <f>IF(E23&lt;&gt;"",VLOOKUP(E23,DataSource!$D$5:$O$5000,9,FALSE),"")</f>
        <v/>
      </c>
      <c r="O23" s="14" t="str">
        <f>IF(E23&lt;&gt;"",VLOOKUP(E23,DataSource!$D$5:$O$5000,10,FALSE),"")</f>
        <v/>
      </c>
      <c r="P23" s="15" t="str">
        <f>IF(E23&lt;&gt;"",VLOOKUP(E23,DataSource!$D$5:$O$5000,12,FALSE),"")</f>
        <v/>
      </c>
      <c r="Q23" s="16" t="str">
        <f t="shared" si="1"/>
        <v/>
      </c>
      <c r="R23" s="30"/>
      <c r="S23" s="33"/>
    </row>
    <row r="24" spans="3:19" x14ac:dyDescent="0.25">
      <c r="C24" s="9">
        <v>16</v>
      </c>
      <c r="D24" s="29"/>
      <c r="E24" s="30"/>
      <c r="F24" s="31"/>
      <c r="G24" s="32"/>
      <c r="H24" s="12" t="str">
        <f>IF(D24&lt;&gt;"",VLOOKUP(E24,DataSource!$D$5:$O$5000,2,FALSE),"")</f>
        <v/>
      </c>
      <c r="I24" s="12" t="str">
        <f t="shared" si="0"/>
        <v/>
      </c>
      <c r="J24" s="13" t="str">
        <f>IF(E24&lt;&gt;"",VLOOKUP(E24,DataSource!$D$5:$O$5000,3,FALSE),"")</f>
        <v/>
      </c>
      <c r="K24" s="24" t="str">
        <f>IF(E24&lt;&gt;"",VLOOKUP(E24,DataSource!$D$5:$O$5000,5,FALSE),"")</f>
        <v/>
      </c>
      <c r="L24" s="24" t="str">
        <f>IF(E24&lt;&gt;"",VLOOKUP(E24,DataSource!$D$5:$O$5000,4,FALSE),"")</f>
        <v/>
      </c>
      <c r="M24" s="14" t="str">
        <f>IF(E24&lt;&gt;"",VLOOKUP(E24,DataSource!$D$5:$O$5000,8,FALSE),"")</f>
        <v/>
      </c>
      <c r="N24" s="14" t="str">
        <f>IF(E24&lt;&gt;"",VLOOKUP(E24,DataSource!$D$5:$O$5000,9,FALSE),"")</f>
        <v/>
      </c>
      <c r="O24" s="14" t="str">
        <f>IF(E24&lt;&gt;"",VLOOKUP(E24,DataSource!$D$5:$O$5000,10,FALSE),"")</f>
        <v/>
      </c>
      <c r="P24" s="15" t="str">
        <f>IF(E24&lt;&gt;"",VLOOKUP(E24,DataSource!$D$5:$O$5000,12,FALSE),"")</f>
        <v/>
      </c>
      <c r="Q24" s="16" t="str">
        <f t="shared" si="1"/>
        <v/>
      </c>
      <c r="R24" s="30"/>
      <c r="S24" s="33"/>
    </row>
    <row r="25" spans="3:19" x14ac:dyDescent="0.25">
      <c r="C25" s="9">
        <v>17</v>
      </c>
      <c r="D25" s="29"/>
      <c r="E25" s="30"/>
      <c r="F25" s="31"/>
      <c r="G25" s="32"/>
      <c r="H25" s="12" t="str">
        <f>IF(D25&lt;&gt;"",VLOOKUP(E25,DataSource!$D$5:$O$5000,2,FALSE),"")</f>
        <v/>
      </c>
      <c r="I25" s="12" t="str">
        <f t="shared" si="0"/>
        <v/>
      </c>
      <c r="J25" s="13" t="str">
        <f>IF(E25&lt;&gt;"",VLOOKUP(E25,DataSource!$D$5:$O$5000,3,FALSE),"")</f>
        <v/>
      </c>
      <c r="K25" s="24" t="str">
        <f>IF(E25&lt;&gt;"",VLOOKUP(E25,DataSource!$D$5:$O$5000,5,FALSE),"")</f>
        <v/>
      </c>
      <c r="L25" s="24" t="str">
        <f>IF(E25&lt;&gt;"",VLOOKUP(E25,DataSource!$D$5:$O$5000,4,FALSE),"")</f>
        <v/>
      </c>
      <c r="M25" s="14" t="str">
        <f>IF(E25&lt;&gt;"",VLOOKUP(E25,DataSource!$D$5:$O$5000,8,FALSE),"")</f>
        <v/>
      </c>
      <c r="N25" s="14" t="str">
        <f>IF(E25&lt;&gt;"",VLOOKUP(E25,DataSource!$D$5:$O$5000,9,FALSE),"")</f>
        <v/>
      </c>
      <c r="O25" s="14" t="str">
        <f>IF(E25&lt;&gt;"",VLOOKUP(E25,DataSource!$D$5:$O$5000,10,FALSE),"")</f>
        <v/>
      </c>
      <c r="P25" s="15" t="str">
        <f>IF(E25&lt;&gt;"",VLOOKUP(E25,DataSource!$D$5:$O$5000,12,FALSE),"")</f>
        <v/>
      </c>
      <c r="Q25" s="16" t="str">
        <f t="shared" si="1"/>
        <v/>
      </c>
      <c r="R25" s="30"/>
      <c r="S25" s="33"/>
    </row>
    <row r="26" spans="3:19" x14ac:dyDescent="0.25">
      <c r="C26" s="9">
        <v>18</v>
      </c>
      <c r="D26" s="29"/>
      <c r="E26" s="30"/>
      <c r="F26" s="31"/>
      <c r="G26" s="32"/>
      <c r="H26" s="12" t="str">
        <f>IF(D26&lt;&gt;"",VLOOKUP(E26,DataSource!$D$5:$O$5000,2,FALSE),"")</f>
        <v/>
      </c>
      <c r="I26" s="12" t="str">
        <f t="shared" si="0"/>
        <v/>
      </c>
      <c r="J26" s="13" t="str">
        <f>IF(E26&lt;&gt;"",VLOOKUP(E26,DataSource!$D$5:$O$5000,3,FALSE),"")</f>
        <v/>
      </c>
      <c r="K26" s="24" t="str">
        <f>IF(E26&lt;&gt;"",VLOOKUP(E26,DataSource!$D$5:$O$5000,5,FALSE),"")</f>
        <v/>
      </c>
      <c r="L26" s="24" t="str">
        <f>IF(E26&lt;&gt;"",VLOOKUP(E26,DataSource!$D$5:$O$5000,4,FALSE),"")</f>
        <v/>
      </c>
      <c r="M26" s="14" t="str">
        <f>IF(E26&lt;&gt;"",VLOOKUP(E26,DataSource!$D$5:$O$5000,8,FALSE),"")</f>
        <v/>
      </c>
      <c r="N26" s="14" t="str">
        <f>IF(E26&lt;&gt;"",VLOOKUP(E26,DataSource!$D$5:$O$5000,9,FALSE),"")</f>
        <v/>
      </c>
      <c r="O26" s="14" t="str">
        <f>IF(E26&lt;&gt;"",VLOOKUP(E26,DataSource!$D$5:$O$5000,10,FALSE),"")</f>
        <v/>
      </c>
      <c r="P26" s="15" t="str">
        <f>IF(E26&lt;&gt;"",VLOOKUP(E26,DataSource!$D$5:$O$5000,12,FALSE),"")</f>
        <v/>
      </c>
      <c r="Q26" s="16" t="str">
        <f t="shared" si="1"/>
        <v/>
      </c>
      <c r="R26" s="30"/>
      <c r="S26" s="33"/>
    </row>
    <row r="27" spans="3:19" x14ac:dyDescent="0.25">
      <c r="C27" s="9">
        <v>19</v>
      </c>
      <c r="D27" s="29"/>
      <c r="E27" s="30"/>
      <c r="F27" s="31"/>
      <c r="G27" s="32"/>
      <c r="H27" s="12" t="str">
        <f>IF(D27&lt;&gt;"",VLOOKUP(E27,DataSource!$D$5:$O$5000,2,FALSE),"")</f>
        <v/>
      </c>
      <c r="I27" s="12" t="str">
        <f t="shared" si="0"/>
        <v/>
      </c>
      <c r="J27" s="13" t="str">
        <f>IF(E27&lt;&gt;"",VLOOKUP(E27,DataSource!$D$5:$O$5000,3,FALSE),"")</f>
        <v/>
      </c>
      <c r="K27" s="24" t="str">
        <f>IF(E27&lt;&gt;"",VLOOKUP(E27,DataSource!$D$5:$O$5000,5,FALSE),"")</f>
        <v/>
      </c>
      <c r="L27" s="24" t="str">
        <f>IF(E27&lt;&gt;"",VLOOKUP(E27,DataSource!$D$5:$O$5000,4,FALSE),"")</f>
        <v/>
      </c>
      <c r="M27" s="14" t="str">
        <f>IF(E27&lt;&gt;"",VLOOKUP(E27,DataSource!$D$5:$O$5000,8,FALSE),"")</f>
        <v/>
      </c>
      <c r="N27" s="14" t="str">
        <f>IF(E27&lt;&gt;"",VLOOKUP(E27,DataSource!$D$5:$O$5000,9,FALSE),"")</f>
        <v/>
      </c>
      <c r="O27" s="14" t="str">
        <f>IF(E27&lt;&gt;"",VLOOKUP(E27,DataSource!$D$5:$O$5000,10,FALSE),"")</f>
        <v/>
      </c>
      <c r="P27" s="15" t="str">
        <f>IF(E27&lt;&gt;"",VLOOKUP(E27,DataSource!$D$5:$O$5000,12,FALSE),"")</f>
        <v/>
      </c>
      <c r="Q27" s="16" t="str">
        <f t="shared" si="1"/>
        <v/>
      </c>
      <c r="R27" s="30"/>
      <c r="S27" s="33"/>
    </row>
    <row r="28" spans="3:19" x14ac:dyDescent="0.25">
      <c r="C28" s="9">
        <v>20</v>
      </c>
      <c r="D28" s="29"/>
      <c r="E28" s="30"/>
      <c r="F28" s="31"/>
      <c r="G28" s="32"/>
      <c r="H28" s="12" t="str">
        <f>IF(D28&lt;&gt;"",VLOOKUP(E28,DataSource!$D$5:$O$5000,2,FALSE),"")</f>
        <v/>
      </c>
      <c r="I28" s="12" t="str">
        <f t="shared" si="0"/>
        <v/>
      </c>
      <c r="J28" s="13" t="str">
        <f>IF(E28&lt;&gt;"",VLOOKUP(E28,DataSource!$D$5:$O$5000,3,FALSE),"")</f>
        <v/>
      </c>
      <c r="K28" s="24" t="str">
        <f>IF(E28&lt;&gt;"",VLOOKUP(E28,DataSource!$D$5:$O$5000,5,FALSE),"")</f>
        <v/>
      </c>
      <c r="L28" s="24" t="str">
        <f>IF(E28&lt;&gt;"",VLOOKUP(E28,DataSource!$D$5:$O$5000,4,FALSE),"")</f>
        <v/>
      </c>
      <c r="M28" s="14" t="str">
        <f>IF(E28&lt;&gt;"",VLOOKUP(E28,DataSource!$D$5:$O$5000,8,FALSE),"")</f>
        <v/>
      </c>
      <c r="N28" s="14" t="str">
        <f>IF(E28&lt;&gt;"",VLOOKUP(E28,DataSource!$D$5:$O$5000,9,FALSE),"")</f>
        <v/>
      </c>
      <c r="O28" s="14" t="str">
        <f>IF(E28&lt;&gt;"",VLOOKUP(E28,DataSource!$D$5:$O$5000,10,FALSE),"")</f>
        <v/>
      </c>
      <c r="P28" s="15" t="str">
        <f>IF(E28&lt;&gt;"",VLOOKUP(E28,DataSource!$D$5:$O$5000,12,FALSE),"")</f>
        <v/>
      </c>
      <c r="Q28" s="16" t="str">
        <f t="shared" si="1"/>
        <v/>
      </c>
      <c r="R28" s="30"/>
      <c r="S28" s="33"/>
    </row>
    <row r="29" spans="3:19" x14ac:dyDescent="0.25">
      <c r="C29" s="9">
        <v>21</v>
      </c>
      <c r="D29" s="29"/>
      <c r="E29" s="30"/>
      <c r="F29" s="31"/>
      <c r="G29" s="32"/>
      <c r="H29" s="12"/>
      <c r="I29" s="12"/>
      <c r="J29" s="13"/>
      <c r="K29" s="24" t="str">
        <f>IF(E29&lt;&gt;"",VLOOKUP(E29,DataSource!$D$5:$O$5000,5,FALSE),"")</f>
        <v/>
      </c>
      <c r="L29" s="24" t="str">
        <f>IF(E29&lt;&gt;"",VLOOKUP(E29,DataSource!$D$5:$O$5000,4,FALSE),"")</f>
        <v/>
      </c>
      <c r="M29" s="14" t="str">
        <f>IF(E29&lt;&gt;"",VLOOKUP(E29,DataSource!$D$5:$O$5000,8,FALSE),"")</f>
        <v/>
      </c>
      <c r="N29" s="14" t="str">
        <f>IF(E29&lt;&gt;"",VLOOKUP(E29,DataSource!$D$5:$O$5000,9,FALSE),"")</f>
        <v/>
      </c>
      <c r="O29" s="14" t="str">
        <f>IF(E29&lt;&gt;"",VLOOKUP(E29,DataSource!$D$5:$O$5000,10,FALSE),"")</f>
        <v/>
      </c>
      <c r="P29" s="15" t="str">
        <f>IF(E29&lt;&gt;"",VLOOKUP(E29,DataSource!$D$5:$O$5000,12,FALSE),"")</f>
        <v/>
      </c>
      <c r="Q29" s="16" t="str">
        <f t="shared" si="1"/>
        <v/>
      </c>
      <c r="R29" s="30"/>
      <c r="S29" s="33"/>
    </row>
    <row r="30" spans="3:19" x14ac:dyDescent="0.25">
      <c r="C30" s="9">
        <v>22</v>
      </c>
      <c r="D30" s="29"/>
      <c r="E30" s="30"/>
      <c r="F30" s="31"/>
      <c r="G30" s="32"/>
      <c r="H30" s="12" t="str">
        <f>IF(D30&lt;&gt;"",VLOOKUP(E30,DataSource!$D$5:$O$5000,2,FALSE),"")</f>
        <v/>
      </c>
      <c r="I30" s="12" t="str">
        <f t="shared" si="0"/>
        <v/>
      </c>
      <c r="J30" s="13" t="str">
        <f>IF(E30&lt;&gt;"",VLOOKUP(E30,DataSource!$D$5:$O$5000,3,FALSE),"")</f>
        <v/>
      </c>
      <c r="K30" s="24" t="str">
        <f>IF(E30&lt;&gt;"",VLOOKUP(E30,DataSource!$D$5:$O$5000,5,FALSE),"")</f>
        <v/>
      </c>
      <c r="L30" s="24" t="str">
        <f>IF(E30&lt;&gt;"",VLOOKUP(E30,DataSource!$D$5:$O$5000,4,FALSE),"")</f>
        <v/>
      </c>
      <c r="M30" s="14" t="str">
        <f>IF(E30&lt;&gt;"",VLOOKUP(E30,DataSource!$D$5:$O$5000,8,FALSE),"")</f>
        <v/>
      </c>
      <c r="N30" s="14" t="str">
        <f>IF(E30&lt;&gt;"",VLOOKUP(E30,DataSource!$D$5:$O$5000,9,FALSE),"")</f>
        <v/>
      </c>
      <c r="O30" s="14" t="str">
        <f>IF(E30&lt;&gt;"",VLOOKUP(E30,DataSource!$D$5:$O$5000,10,FALSE),"")</f>
        <v/>
      </c>
      <c r="P30" s="15" t="str">
        <f>IF(E30&lt;&gt;"",VLOOKUP(E30,DataSource!$D$5:$O$5000,12,FALSE),"")</f>
        <v/>
      </c>
      <c r="Q30" s="16" t="str">
        <f t="shared" si="1"/>
        <v/>
      </c>
      <c r="R30" s="30"/>
      <c r="S30" s="33"/>
    </row>
    <row r="31" spans="3:19" x14ac:dyDescent="0.25">
      <c r="C31" s="9">
        <v>23</v>
      </c>
      <c r="D31" s="29"/>
      <c r="E31" s="30"/>
      <c r="F31" s="31"/>
      <c r="G31" s="32"/>
      <c r="H31" s="12" t="str">
        <f>IF(D31&lt;&gt;"",VLOOKUP(E31,DataSource!$D$5:$O$5000,2,FALSE),"")</f>
        <v/>
      </c>
      <c r="I31" s="12" t="str">
        <f t="shared" si="0"/>
        <v/>
      </c>
      <c r="J31" s="13" t="str">
        <f>IF(E31&lt;&gt;"",VLOOKUP(E31,DataSource!$D$5:$O$5000,3,FALSE),"")</f>
        <v/>
      </c>
      <c r="K31" s="24" t="str">
        <f>IF(E31&lt;&gt;"",VLOOKUP(E31,DataSource!$D$5:$O$5000,5,FALSE),"")</f>
        <v/>
      </c>
      <c r="L31" s="24" t="str">
        <f>IF(E31&lt;&gt;"",VLOOKUP(E31,DataSource!$D$5:$O$5000,4,FALSE),"")</f>
        <v/>
      </c>
      <c r="M31" s="14" t="str">
        <f>IF(E31&lt;&gt;"",VLOOKUP(E31,DataSource!$D$5:$O$5000,8,FALSE),"")</f>
        <v/>
      </c>
      <c r="N31" s="14" t="str">
        <f>IF(E31&lt;&gt;"",VLOOKUP(E31,DataSource!$D$5:$O$5000,9,FALSE),"")</f>
        <v/>
      </c>
      <c r="O31" s="14" t="str">
        <f>IF(E31&lt;&gt;"",VLOOKUP(E31,DataSource!$D$5:$O$5000,10,FALSE),"")</f>
        <v/>
      </c>
      <c r="P31" s="15" t="str">
        <f>IF(E31&lt;&gt;"",VLOOKUP(E31,DataSource!$D$5:$O$5000,12,FALSE),"")</f>
        <v/>
      </c>
      <c r="Q31" s="16" t="str">
        <f t="shared" si="1"/>
        <v/>
      </c>
      <c r="R31" s="30"/>
      <c r="S31" s="33"/>
    </row>
    <row r="32" spans="3:19" x14ac:dyDescent="0.25">
      <c r="C32" s="9">
        <v>24</v>
      </c>
      <c r="D32" s="29"/>
      <c r="E32" s="30"/>
      <c r="F32" s="31"/>
      <c r="G32" s="32"/>
      <c r="H32" s="12" t="str">
        <f>IF(D32&lt;&gt;"",VLOOKUP(E32,DataSource!$D$5:$O$5000,2,FALSE),"")</f>
        <v/>
      </c>
      <c r="I32" s="12" t="str">
        <f t="shared" si="0"/>
        <v/>
      </c>
      <c r="J32" s="13" t="str">
        <f>IF(E32&lt;&gt;"",VLOOKUP(E32,DataSource!$D$5:$O$5000,3,FALSE),"")</f>
        <v/>
      </c>
      <c r="K32" s="24" t="str">
        <f>IF(E32&lt;&gt;"",VLOOKUP(E32,DataSource!$D$5:$O$5000,5,FALSE),"")</f>
        <v/>
      </c>
      <c r="L32" s="24" t="str">
        <f>IF(E32&lt;&gt;"",VLOOKUP(E32,DataSource!$D$5:$O$5000,4,FALSE),"")</f>
        <v/>
      </c>
      <c r="M32" s="14" t="str">
        <f>IF(E32&lt;&gt;"",VLOOKUP(E32,DataSource!$D$5:$O$5000,8,FALSE),"")</f>
        <v/>
      </c>
      <c r="N32" s="14" t="str">
        <f>IF(E32&lt;&gt;"",VLOOKUP(E32,DataSource!$D$5:$O$5000,9,FALSE),"")</f>
        <v/>
      </c>
      <c r="O32" s="14" t="str">
        <f>IF(E32&lt;&gt;"",VLOOKUP(E32,DataSource!$D$5:$O$5000,10,FALSE),"")</f>
        <v/>
      </c>
      <c r="P32" s="15" t="str">
        <f>IF(E32&lt;&gt;"",VLOOKUP(E32,DataSource!$D$5:$O$5000,12,FALSE),"")</f>
        <v/>
      </c>
      <c r="Q32" s="16" t="str">
        <f t="shared" si="1"/>
        <v/>
      </c>
      <c r="R32" s="30"/>
      <c r="S32" s="33"/>
    </row>
    <row r="33" spans="3:19" x14ac:dyDescent="0.25">
      <c r="C33" s="9">
        <v>25</v>
      </c>
      <c r="D33" s="29"/>
      <c r="E33" s="30"/>
      <c r="F33" s="31"/>
      <c r="G33" s="32"/>
      <c r="H33" s="12" t="str">
        <f>IF(D33&lt;&gt;"",VLOOKUP(E33,DataSource!$D$5:$O$5000,2,FALSE),"")</f>
        <v/>
      </c>
      <c r="I33" s="12" t="str">
        <f t="shared" si="0"/>
        <v/>
      </c>
      <c r="J33" s="13" t="str">
        <f>IF(E33&lt;&gt;"",VLOOKUP(E33,DataSource!$D$5:$O$5000,3,FALSE),"")</f>
        <v/>
      </c>
      <c r="K33" s="24" t="str">
        <f>IF(E33&lt;&gt;"",VLOOKUP(E33,DataSource!$D$5:$O$5000,5,FALSE),"")</f>
        <v/>
      </c>
      <c r="L33" s="24" t="str">
        <f>IF(E33&lt;&gt;"",VLOOKUP(E33,DataSource!$D$5:$O$5000,4,FALSE),"")</f>
        <v/>
      </c>
      <c r="M33" s="14" t="str">
        <f>IF(E33&lt;&gt;"",VLOOKUP(E33,DataSource!$D$5:$O$5000,8,FALSE),"")</f>
        <v/>
      </c>
      <c r="N33" s="14" t="str">
        <f>IF(E33&lt;&gt;"",VLOOKUP(E33,DataSource!$D$5:$O$5000,9,FALSE),"")</f>
        <v/>
      </c>
      <c r="O33" s="14" t="str">
        <f>IF(E33&lt;&gt;"",VLOOKUP(E33,DataSource!$D$5:$O$5000,10,FALSE),"")</f>
        <v/>
      </c>
      <c r="P33" s="15" t="str">
        <f>IF(E33&lt;&gt;"",VLOOKUP(E33,DataSource!$D$5:$O$5000,12,FALSE),"")</f>
        <v/>
      </c>
      <c r="Q33" s="16" t="str">
        <f t="shared" si="1"/>
        <v/>
      </c>
      <c r="R33" s="30"/>
      <c r="S33" s="33"/>
    </row>
    <row r="34" spans="3:19" x14ac:dyDescent="0.25">
      <c r="C34" s="25" t="s">
        <v>3194</v>
      </c>
      <c r="D34" s="26" t="s">
        <v>1</v>
      </c>
      <c r="E34" s="20" t="s">
        <v>1071</v>
      </c>
      <c r="F34" s="20"/>
      <c r="G34" s="17"/>
      <c r="H34" s="17">
        <f>IF(D34&lt;&gt;"",VLOOKUP(E34,DataSource!$D$5:$O$1111,2,FALSE),"")</f>
        <v>1</v>
      </c>
      <c r="I34" s="17">
        <f>SUM(I9:I33)</f>
        <v>0.28301215860155171</v>
      </c>
      <c r="J34" s="21">
        <f>IF(E34&lt;&gt;"",VLOOKUP(E34,DataSource!$D$5:$O$1111,3,FALSE),"")</f>
        <v>3970.13</v>
      </c>
      <c r="K34" s="21"/>
      <c r="L34" s="21"/>
      <c r="M34" s="18">
        <f>IF(E34&lt;&gt;"",VLOOKUP(E34,DataSource!$D$5:$O$5000,8,FALSE),"")</f>
        <v>-0.04</v>
      </c>
      <c r="N34" s="18">
        <f>IF(E34&lt;&gt;"",VLOOKUP(E34,DataSource!$D$5:$O$5000,9,FALSE),"")</f>
        <v>1.35</v>
      </c>
      <c r="O34" s="18">
        <f>IF(E34&lt;&gt;"",VLOOKUP(E34,DataSource!$D$5:$O$5000,10,FALSE),"")</f>
        <v>1.87</v>
      </c>
      <c r="P34" s="19">
        <f>IF(E34&lt;&gt;"",VLOOKUP(E34,DataSource!$D$5:$O$1111,12,FALSE),"")</f>
        <v>42998.867685185185</v>
      </c>
      <c r="Q34" s="20"/>
      <c r="R34" s="20"/>
      <c r="S34" s="27"/>
    </row>
  </sheetData>
  <sheetProtection algorithmName="SHA-512" hashValue="D2qy79N8nXtcA6T1tD28NzDOKiEWu2hRXHxeP4Fxy28TEplrgkoWbMYHQ3ZmOGUd71YEAnuCkbpjauzp10dlPw==" saltValue="r4YB1mgfXIlMEYo/cv8bGg==" spinCount="100000" sheet="1" objects="1" scenarios="1" autoFilter="0"/>
  <conditionalFormatting sqref="Q9:Q33">
    <cfRule type="cellIs" dxfId="9" priority="11" operator="lessThan">
      <formula>0</formula>
    </cfRule>
    <cfRule type="cellIs" dxfId="8" priority="12" operator="greaterThan">
      <formula>0</formula>
    </cfRule>
  </conditionalFormatting>
  <conditionalFormatting sqref="M9:O34">
    <cfRule type="cellIs" dxfId="7" priority="9" operator="lessThan">
      <formula>0</formula>
    </cfRule>
    <cfRule type="cellIs" dxfId="6" priority="10" operator="greaterThan">
      <formula>0</formula>
    </cfRule>
  </conditionalFormatting>
  <conditionalFormatting sqref="L5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L4">
    <cfRule type="cellIs" dxfId="3" priority="1" operator="lessThan">
      <formula>$L$3</formula>
    </cfRule>
    <cfRule type="cellIs" dxfId="2" priority="2" operator="greaterThan">
      <formula>$L$3</formula>
    </cfRule>
  </conditionalFormatting>
  <hyperlinks>
    <hyperlink ref="D9" r:id="rId1"/>
    <hyperlink ref="D10" r:id="rId2"/>
    <hyperlink ref="D11" r:id="rId3"/>
    <hyperlink ref="D12" r:id="rId4"/>
    <hyperlink ref="D13" r:id="rId5"/>
    <hyperlink ref="D14" r:id="rId6"/>
    <hyperlink ref="D15" r:id="rId7"/>
    <hyperlink ref="D16" r:id="rId8"/>
    <hyperlink ref="D17" r:id="rId9"/>
    <hyperlink ref="D18" r:id="rId10"/>
    <hyperlink ref="D19" r:id="rId11"/>
  </hyperlinks>
  <pageMargins left="0.7" right="0.7" top="0.75" bottom="0.75" header="0.3" footer="0.3"/>
  <pageSetup orientation="portrait" horizontalDpi="4294967293" verticalDpi="0" r:id="rId12"/>
  <drawing r:id="rId13"/>
  <legacyDrawing r:id="rId14"/>
  <controls>
    <mc:AlternateContent xmlns:mc="http://schemas.openxmlformats.org/markup-compatibility/2006">
      <mc:Choice Requires="x14">
        <control shapeId="1027" r:id="rId15" name="cmbCoinList">
          <controlPr autoLine="0" autoPict="0" r:id="rId16">
            <anchor moveWithCells="1">
              <from>
                <xdr:col>2</xdr:col>
                <xdr:colOff>38100</xdr:colOff>
                <xdr:row>4</xdr:row>
                <xdr:rowOff>9525</xdr:rowOff>
              </from>
              <to>
                <xdr:col>5</xdr:col>
                <xdr:colOff>419100</xdr:colOff>
                <xdr:row>5</xdr:row>
                <xdr:rowOff>66675</xdr:rowOff>
              </to>
            </anchor>
          </controlPr>
        </control>
      </mc:Choice>
      <mc:Fallback>
        <control shapeId="1027" r:id="rId15" name="cmbCoinList"/>
      </mc:Fallback>
    </mc:AlternateContent>
    <mc:AlternateContent xmlns:mc="http://schemas.openxmlformats.org/markup-compatibility/2006">
      <mc:Choice Requires="x14">
        <control shapeId="1028" r:id="rId17" name="cmdAddCoin">
          <controlPr defaultSize="0" autoLine="0" r:id="rId18">
            <anchor moveWithCells="1">
              <from>
                <xdr:col>5</xdr:col>
                <xdr:colOff>447675</xdr:colOff>
                <xdr:row>3</xdr:row>
                <xdr:rowOff>47625</xdr:rowOff>
              </from>
              <to>
                <xdr:col>6</xdr:col>
                <xdr:colOff>390525</xdr:colOff>
                <xdr:row>5</xdr:row>
                <xdr:rowOff>57150</xdr:rowOff>
              </to>
            </anchor>
          </controlPr>
        </control>
      </mc:Choice>
      <mc:Fallback>
        <control shapeId="1028" r:id="rId17" name="cmdAddCo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413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36" hidden="1" customWidth="1"/>
    <col min="3" max="3" width="27.42578125" style="36" bestFit="1" customWidth="1"/>
    <col min="4" max="4" width="11.28515625" style="36" bestFit="1" customWidth="1"/>
    <col min="5" max="5" width="14.7109375" style="36" bestFit="1" customWidth="1"/>
    <col min="6" max="6" width="15.7109375" style="36" bestFit="1" customWidth="1"/>
    <col min="7" max="7" width="15.42578125" style="36" bestFit="1" customWidth="1"/>
    <col min="8" max="8" width="16.42578125" style="36" bestFit="1" customWidth="1"/>
    <col min="9" max="9" width="17.5703125" style="36" bestFit="1" customWidth="1"/>
    <col min="10" max="10" width="19.140625" style="36" bestFit="1" customWidth="1"/>
    <col min="11" max="11" width="15.28515625" style="47" bestFit="1" customWidth="1"/>
    <col min="12" max="12" width="17.28515625" style="47" bestFit="1" customWidth="1"/>
    <col min="13" max="13" width="15.28515625" style="47" bestFit="1" customWidth="1"/>
    <col min="14" max="14" width="9.140625" style="36"/>
    <col min="15" max="15" width="25.7109375" style="36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43" t="s">
        <v>3176</v>
      </c>
      <c r="C4" s="43" t="s">
        <v>3182</v>
      </c>
      <c r="D4" s="43" t="s">
        <v>3177</v>
      </c>
      <c r="E4" s="43" t="s">
        <v>2094</v>
      </c>
      <c r="F4" s="43" t="s">
        <v>2095</v>
      </c>
      <c r="G4" s="43" t="s">
        <v>3178</v>
      </c>
      <c r="H4" s="43" t="s">
        <v>2096</v>
      </c>
      <c r="I4" s="43" t="s">
        <v>2097</v>
      </c>
      <c r="J4" s="43" t="s">
        <v>2098</v>
      </c>
      <c r="K4" s="43" t="s">
        <v>2099</v>
      </c>
      <c r="L4" s="43" t="s">
        <v>3179</v>
      </c>
      <c r="M4" s="43" t="s">
        <v>3180</v>
      </c>
      <c r="N4" s="43" t="s">
        <v>2100</v>
      </c>
      <c r="O4" s="43" t="s">
        <v>3181</v>
      </c>
    </row>
    <row r="5" spans="2:15" x14ac:dyDescent="0.25">
      <c r="B5" s="36" t="s">
        <v>2101</v>
      </c>
      <c r="C5" s="35" t="s">
        <v>1</v>
      </c>
      <c r="D5" s="36" t="s">
        <v>1071</v>
      </c>
      <c r="E5" s="37">
        <v>1</v>
      </c>
      <c r="F5" s="38">
        <v>3970.13</v>
      </c>
      <c r="G5" s="39">
        <v>1278250000</v>
      </c>
      <c r="H5" s="39">
        <v>65814532315</v>
      </c>
      <c r="I5" s="40">
        <v>16577425</v>
      </c>
      <c r="J5" s="40">
        <v>16577425</v>
      </c>
      <c r="K5" s="46">
        <v>-0.04</v>
      </c>
      <c r="L5" s="46">
        <v>1.35</v>
      </c>
      <c r="M5" s="46">
        <v>1.87</v>
      </c>
      <c r="N5" s="36">
        <v>1</v>
      </c>
      <c r="O5" s="41">
        <v>42998.867685185185</v>
      </c>
    </row>
    <row r="6" spans="2:15" x14ac:dyDescent="0.25">
      <c r="B6" s="36" t="s">
        <v>2102</v>
      </c>
      <c r="C6" s="35" t="s">
        <v>3</v>
      </c>
      <c r="D6" s="36" t="s">
        <v>1072</v>
      </c>
      <c r="E6" s="37">
        <v>7.2151099999999996E-2</v>
      </c>
      <c r="F6" s="38">
        <v>286.54300000000001</v>
      </c>
      <c r="G6" s="39">
        <v>443325000</v>
      </c>
      <c r="H6" s="39">
        <v>27145966266</v>
      </c>
      <c r="I6" s="40">
        <v>94736100</v>
      </c>
      <c r="J6" s="40">
        <v>94736100</v>
      </c>
      <c r="K6" s="46">
        <v>-0.11</v>
      </c>
      <c r="L6" s="46">
        <v>1.76</v>
      </c>
      <c r="M6" s="46">
        <v>4.26</v>
      </c>
      <c r="N6" s="36">
        <v>2</v>
      </c>
      <c r="O6" s="41">
        <v>42998.867650462962</v>
      </c>
    </row>
    <row r="7" spans="2:15" x14ac:dyDescent="0.25">
      <c r="B7" s="36" t="s">
        <v>2103</v>
      </c>
      <c r="C7" s="35" t="s">
        <v>4</v>
      </c>
      <c r="D7" s="36" t="s">
        <v>1073</v>
      </c>
      <c r="E7" s="37">
        <v>0.123566</v>
      </c>
      <c r="F7" s="38">
        <v>490.37799999999999</v>
      </c>
      <c r="G7" s="39">
        <v>887504000</v>
      </c>
      <c r="H7" s="39">
        <v>8139710865</v>
      </c>
      <c r="I7" s="40">
        <v>16598850</v>
      </c>
      <c r="J7" s="40">
        <v>16598850</v>
      </c>
      <c r="K7" s="46">
        <v>-0.03</v>
      </c>
      <c r="L7" s="46">
        <v>-5.8</v>
      </c>
      <c r="M7" s="46">
        <v>-2.99</v>
      </c>
      <c r="N7" s="36">
        <v>3</v>
      </c>
      <c r="O7" s="41">
        <v>42998.864490740743</v>
      </c>
    </row>
    <row r="8" spans="2:15" x14ac:dyDescent="0.25">
      <c r="B8" s="36" t="s">
        <v>2104</v>
      </c>
      <c r="C8" s="35" t="s">
        <v>5</v>
      </c>
      <c r="D8" s="36" t="s">
        <v>1074</v>
      </c>
      <c r="E8" s="37">
        <v>4.6230000000000003E-5</v>
      </c>
      <c r="F8" s="38">
        <v>0.18360899999999999</v>
      </c>
      <c r="G8" s="39">
        <v>37574800</v>
      </c>
      <c r="H8" s="39">
        <v>7040274464</v>
      </c>
      <c r="I8" s="40">
        <v>38343841883</v>
      </c>
      <c r="J8" s="40">
        <v>99994523265</v>
      </c>
      <c r="K8" s="46">
        <v>-0.36</v>
      </c>
      <c r="L8" s="46">
        <v>0.02</v>
      </c>
      <c r="M8" s="46">
        <v>-8.75</v>
      </c>
      <c r="N8" s="36">
        <v>4</v>
      </c>
      <c r="O8" s="41">
        <v>42998.867407407408</v>
      </c>
    </row>
    <row r="9" spans="2:15" x14ac:dyDescent="0.25">
      <c r="B9" s="36" t="s">
        <v>2105</v>
      </c>
      <c r="C9" s="35" t="s">
        <v>6</v>
      </c>
      <c r="D9" s="36" t="s">
        <v>1075</v>
      </c>
      <c r="E9" s="37">
        <v>1.32757E-2</v>
      </c>
      <c r="F9" s="38">
        <v>52.723599999999998</v>
      </c>
      <c r="G9" s="39">
        <v>169441000</v>
      </c>
      <c r="H9" s="39">
        <v>2795445203</v>
      </c>
      <c r="I9" s="40">
        <v>53020757</v>
      </c>
      <c r="J9" s="40">
        <v>53020757</v>
      </c>
      <c r="K9" s="46">
        <v>-0.13</v>
      </c>
      <c r="L9" s="46">
        <v>-0.24</v>
      </c>
      <c r="M9" s="46">
        <v>-14.48</v>
      </c>
      <c r="N9" s="36">
        <v>5</v>
      </c>
      <c r="O9" s="41">
        <v>42998.867442129631</v>
      </c>
    </row>
    <row r="10" spans="2:15" x14ac:dyDescent="0.25">
      <c r="B10" s="36" t="s">
        <v>2107</v>
      </c>
      <c r="C10" s="35" t="s">
        <v>8</v>
      </c>
      <c r="D10" s="36" t="s">
        <v>1077</v>
      </c>
      <c r="E10" s="37">
        <v>8.5428299999999999E-2</v>
      </c>
      <c r="F10" s="38">
        <v>339.27199999999999</v>
      </c>
      <c r="G10" s="39">
        <v>63682600</v>
      </c>
      <c r="H10" s="39">
        <v>2568076999</v>
      </c>
      <c r="I10" s="40">
        <v>7569375</v>
      </c>
      <c r="J10" s="40">
        <v>7569375</v>
      </c>
      <c r="K10" s="46">
        <v>-0.05</v>
      </c>
      <c r="L10" s="46">
        <v>6.02</v>
      </c>
      <c r="M10" s="46">
        <v>13.19</v>
      </c>
      <c r="N10" s="36">
        <v>6</v>
      </c>
      <c r="O10" s="41">
        <v>42998.867581018516</v>
      </c>
    </row>
    <row r="11" spans="2:15" x14ac:dyDescent="0.25">
      <c r="B11" s="36" t="s">
        <v>2106</v>
      </c>
      <c r="C11" s="35" t="s">
        <v>7</v>
      </c>
      <c r="D11" s="36" t="s">
        <v>1076</v>
      </c>
      <c r="E11" s="37">
        <v>5.8850000000000001E-5</v>
      </c>
      <c r="F11" s="38">
        <v>0.233711</v>
      </c>
      <c r="G11" s="39">
        <v>3167130</v>
      </c>
      <c r="H11" s="39">
        <v>2103399000</v>
      </c>
      <c r="I11" s="40">
        <v>8999999999</v>
      </c>
      <c r="J11" s="40">
        <v>8999999999</v>
      </c>
      <c r="K11" s="46">
        <v>-0.03</v>
      </c>
      <c r="L11" s="46">
        <v>-2.37</v>
      </c>
      <c r="M11" s="46">
        <v>0.62</v>
      </c>
      <c r="N11" s="36">
        <v>7</v>
      </c>
      <c r="O11" s="41">
        <v>42998.86755787037</v>
      </c>
    </row>
    <row r="12" spans="2:15" x14ac:dyDescent="0.25">
      <c r="B12" s="36" t="s">
        <v>2108</v>
      </c>
      <c r="C12" s="35" t="s">
        <v>9</v>
      </c>
      <c r="D12" s="36" t="s">
        <v>1078</v>
      </c>
      <c r="E12" s="37">
        <v>1.4563999999999999E-4</v>
      </c>
      <c r="F12" s="38">
        <v>0.578403</v>
      </c>
      <c r="G12" s="39">
        <v>9141090</v>
      </c>
      <c r="H12" s="39">
        <v>1607688654</v>
      </c>
      <c r="I12" s="40">
        <v>2779530283</v>
      </c>
      <c r="J12" s="40">
        <v>2779530283</v>
      </c>
      <c r="K12" s="46">
        <v>0.37</v>
      </c>
      <c r="L12" s="46">
        <v>2.6</v>
      </c>
      <c r="M12" s="46">
        <v>6.13</v>
      </c>
      <c r="N12" s="36">
        <v>8</v>
      </c>
      <c r="O12" s="41">
        <v>42998.867928240739</v>
      </c>
    </row>
    <row r="13" spans="2:15" x14ac:dyDescent="0.25">
      <c r="B13" s="36" t="s">
        <v>2109</v>
      </c>
      <c r="C13" s="35" t="s">
        <v>10</v>
      </c>
      <c r="D13" s="36" t="s">
        <v>1079</v>
      </c>
      <c r="E13" s="37">
        <v>2.43711E-2</v>
      </c>
      <c r="F13" s="38">
        <v>96.787899999999993</v>
      </c>
      <c r="G13" s="39">
        <v>43535900</v>
      </c>
      <c r="H13" s="39">
        <v>1461972090</v>
      </c>
      <c r="I13" s="40">
        <v>15104906</v>
      </c>
      <c r="J13" s="40">
        <v>15104906</v>
      </c>
      <c r="K13" s="46">
        <v>0.31</v>
      </c>
      <c r="L13" s="46">
        <v>1.04</v>
      </c>
      <c r="M13" s="46">
        <v>-13.1</v>
      </c>
      <c r="N13" s="36">
        <v>9</v>
      </c>
      <c r="O13" s="41">
        <v>42998.867488425924</v>
      </c>
    </row>
    <row r="14" spans="2:15" x14ac:dyDescent="0.25">
      <c r="B14" s="36" t="s">
        <v>2110</v>
      </c>
      <c r="C14" s="35" t="s">
        <v>12</v>
      </c>
      <c r="D14" s="36" t="s">
        <v>1080</v>
      </c>
      <c r="E14" s="37">
        <v>2.8796799999999999E-3</v>
      </c>
      <c r="F14" s="38">
        <v>11.436500000000001</v>
      </c>
      <c r="G14" s="39">
        <v>45131800</v>
      </c>
      <c r="H14" s="39">
        <v>1094508114</v>
      </c>
      <c r="I14" s="40">
        <v>95703066</v>
      </c>
      <c r="J14" s="40">
        <v>95703066</v>
      </c>
      <c r="K14" s="46">
        <v>-0.04</v>
      </c>
      <c r="L14" s="46">
        <v>0.63</v>
      </c>
      <c r="M14" s="46">
        <v>-19.04</v>
      </c>
      <c r="N14" s="36">
        <v>10</v>
      </c>
      <c r="O14" s="41">
        <v>42998.867789351854</v>
      </c>
    </row>
    <row r="15" spans="2:15" x14ac:dyDescent="0.25">
      <c r="B15" s="36" t="s">
        <v>2111</v>
      </c>
      <c r="C15" s="35" t="s">
        <v>11</v>
      </c>
      <c r="D15" s="36" t="s">
        <v>11</v>
      </c>
      <c r="E15" s="37">
        <v>5.0333900000000004E-3</v>
      </c>
      <c r="F15" s="38">
        <v>19.989699999999999</v>
      </c>
      <c r="G15" s="39">
        <v>15229200</v>
      </c>
      <c r="H15" s="39">
        <v>999485000</v>
      </c>
      <c r="I15" s="40">
        <v>50000000</v>
      </c>
      <c r="J15" s="40">
        <v>100000000</v>
      </c>
      <c r="K15" s="46">
        <v>0.21</v>
      </c>
      <c r="L15" s="46">
        <v>-1.2</v>
      </c>
      <c r="M15" s="46">
        <v>2.15</v>
      </c>
      <c r="N15" s="36">
        <v>11</v>
      </c>
      <c r="O15" s="41">
        <v>42998.867754629631</v>
      </c>
    </row>
    <row r="16" spans="2:15" x14ac:dyDescent="0.25">
      <c r="B16" s="36" t="s">
        <v>2112</v>
      </c>
      <c r="C16" s="35" t="s">
        <v>13</v>
      </c>
      <c r="D16" s="36" t="s">
        <v>1081</v>
      </c>
      <c r="E16" s="37">
        <v>2.3288499999999999E-3</v>
      </c>
      <c r="F16" s="38">
        <v>9.2488799999999998</v>
      </c>
      <c r="G16" s="39">
        <v>37400900</v>
      </c>
      <c r="H16" s="39">
        <v>909276113</v>
      </c>
      <c r="I16" s="40">
        <v>98312024</v>
      </c>
      <c r="J16" s="40">
        <v>140245398</v>
      </c>
      <c r="K16" s="46">
        <v>-1.96</v>
      </c>
      <c r="L16" s="46">
        <v>-6.34</v>
      </c>
      <c r="M16" s="46">
        <v>-12.79</v>
      </c>
      <c r="N16" s="36">
        <v>12</v>
      </c>
      <c r="O16" s="41">
        <v>42998.867986111109</v>
      </c>
    </row>
    <row r="17" spans="2:15" x14ac:dyDescent="0.25">
      <c r="B17" s="36" t="s">
        <v>2115</v>
      </c>
      <c r="C17" s="35" t="s">
        <v>16</v>
      </c>
      <c r="D17" s="36" t="s">
        <v>1084</v>
      </c>
      <c r="E17" s="37">
        <v>3.0021200000000001E-2</v>
      </c>
      <c r="F17" s="38">
        <v>119.227</v>
      </c>
      <c r="G17" s="39">
        <v>8378200</v>
      </c>
      <c r="H17" s="39">
        <v>804143719</v>
      </c>
      <c r="I17" s="40">
        <v>6744644</v>
      </c>
      <c r="J17" s="40">
        <v>7775576</v>
      </c>
      <c r="K17" s="46">
        <v>0.48</v>
      </c>
      <c r="L17" s="46">
        <v>1.56</v>
      </c>
      <c r="M17" s="46">
        <v>2.54</v>
      </c>
      <c r="N17" s="36">
        <v>13</v>
      </c>
      <c r="O17" s="41">
        <v>42998.867847222224</v>
      </c>
    </row>
    <row r="18" spans="2:15" x14ac:dyDescent="0.25">
      <c r="B18" s="36" t="s">
        <v>2116</v>
      </c>
      <c r="C18" s="35" t="s">
        <v>17</v>
      </c>
      <c r="D18" s="36" t="s">
        <v>1085</v>
      </c>
      <c r="E18" s="37">
        <v>1.5625299999999999E-3</v>
      </c>
      <c r="F18" s="38">
        <v>6.2054600000000004</v>
      </c>
      <c r="G18" s="39">
        <v>10597500</v>
      </c>
      <c r="H18" s="39">
        <v>698119556</v>
      </c>
      <c r="I18" s="40">
        <v>112500855</v>
      </c>
      <c r="J18" s="40">
        <v>112500855</v>
      </c>
      <c r="K18" s="46">
        <v>-0.48</v>
      </c>
      <c r="L18" s="46">
        <v>-0.27</v>
      </c>
      <c r="M18" s="46">
        <v>-5.59</v>
      </c>
      <c r="N18" s="36">
        <v>14</v>
      </c>
      <c r="O18" s="41">
        <v>42998.867673611108</v>
      </c>
    </row>
    <row r="19" spans="2:15" x14ac:dyDescent="0.25">
      <c r="B19" s="36" t="s">
        <v>2114</v>
      </c>
      <c r="C19" s="35" t="s">
        <v>15</v>
      </c>
      <c r="D19" s="36" t="s">
        <v>1083</v>
      </c>
      <c r="E19" s="37">
        <v>2.2252700000000001E-3</v>
      </c>
      <c r="F19" s="38">
        <v>8.83751</v>
      </c>
      <c r="G19" s="39">
        <v>41197400</v>
      </c>
      <c r="H19" s="39">
        <v>521413090</v>
      </c>
      <c r="I19" s="40">
        <v>59000000</v>
      </c>
      <c r="J19" s="40">
        <v>100000000</v>
      </c>
      <c r="K19" s="46">
        <v>0.11</v>
      </c>
      <c r="L19" s="46">
        <v>-0.51</v>
      </c>
      <c r="M19" s="46">
        <v>-26.93</v>
      </c>
      <c r="N19" s="36">
        <v>15</v>
      </c>
      <c r="O19" s="41">
        <v>42998.867928240739</v>
      </c>
    </row>
    <row r="20" spans="2:15" x14ac:dyDescent="0.25">
      <c r="B20" s="36" t="s">
        <v>2117</v>
      </c>
      <c r="C20" s="35" t="s">
        <v>18</v>
      </c>
      <c r="D20" s="36" t="s">
        <v>1086</v>
      </c>
      <c r="E20" s="37">
        <v>1.25541E-3</v>
      </c>
      <c r="F20" s="38">
        <v>4.9857699999999996</v>
      </c>
      <c r="G20" s="39">
        <v>8312340</v>
      </c>
      <c r="H20" s="39">
        <v>491351992</v>
      </c>
      <c r="I20" s="40">
        <v>98550874</v>
      </c>
      <c r="J20" s="40">
        <v>98550874</v>
      </c>
      <c r="K20" s="46">
        <v>-0.49</v>
      </c>
      <c r="L20" s="46">
        <v>2.17</v>
      </c>
      <c r="M20" s="46">
        <v>0.51</v>
      </c>
      <c r="N20" s="36">
        <v>16</v>
      </c>
      <c r="O20" s="41">
        <v>42998.867743055554</v>
      </c>
    </row>
    <row r="21" spans="2:15" x14ac:dyDescent="0.25">
      <c r="B21" s="36" t="s">
        <v>2126</v>
      </c>
      <c r="C21" s="35" t="s">
        <v>27</v>
      </c>
      <c r="D21" s="36" t="s">
        <v>1094</v>
      </c>
      <c r="E21" s="37">
        <v>2.5169E-4</v>
      </c>
      <c r="F21" s="38">
        <v>0.99957200000000002</v>
      </c>
      <c r="G21" s="39">
        <v>145774000</v>
      </c>
      <c r="H21" s="39">
        <v>442291861</v>
      </c>
      <c r="I21" s="40">
        <v>442481242</v>
      </c>
      <c r="J21" s="40">
        <v>444951082</v>
      </c>
      <c r="K21" s="46">
        <v>-0.12</v>
      </c>
      <c r="L21" s="46">
        <v>-0.34</v>
      </c>
      <c r="M21" s="46">
        <v>-0.27</v>
      </c>
      <c r="N21" s="36">
        <v>17</v>
      </c>
      <c r="O21" s="41">
        <v>42998.86755787037</v>
      </c>
    </row>
    <row r="22" spans="2:15" x14ac:dyDescent="0.25">
      <c r="B22" s="36" t="s">
        <v>2118</v>
      </c>
      <c r="C22" s="35" t="s">
        <v>19</v>
      </c>
      <c r="D22" s="36" t="s">
        <v>1087</v>
      </c>
      <c r="E22" s="37">
        <v>4.8214399999999998E-2</v>
      </c>
      <c r="F22" s="38">
        <v>191.48</v>
      </c>
      <c r="G22" s="39">
        <v>12653800</v>
      </c>
      <c r="H22" s="39">
        <v>426314662</v>
      </c>
      <c r="I22" s="40">
        <v>2226419</v>
      </c>
      <c r="J22" s="40">
        <v>2226419</v>
      </c>
      <c r="K22" s="46">
        <v>0.52</v>
      </c>
      <c r="L22" s="46">
        <v>2.36</v>
      </c>
      <c r="M22" s="46">
        <v>-3.75</v>
      </c>
      <c r="N22" s="36">
        <v>18</v>
      </c>
      <c r="O22" s="41">
        <v>42998.867777777778</v>
      </c>
    </row>
    <row r="23" spans="2:15" x14ac:dyDescent="0.25">
      <c r="B23" s="36" t="s">
        <v>2119</v>
      </c>
      <c r="C23" s="35" t="s">
        <v>20</v>
      </c>
      <c r="D23" s="36" t="s">
        <v>1088</v>
      </c>
      <c r="E23" s="37">
        <v>1.0476699999999999E-3</v>
      </c>
      <c r="F23" s="38">
        <v>4.16073</v>
      </c>
      <c r="G23" s="39">
        <v>3789870</v>
      </c>
      <c r="H23" s="39">
        <v>416073000</v>
      </c>
      <c r="I23" s="40">
        <v>100000000</v>
      </c>
      <c r="J23" s="40">
        <v>100000000</v>
      </c>
      <c r="K23" s="46">
        <v>-0.13</v>
      </c>
      <c r="L23" s="46">
        <v>-0.21</v>
      </c>
      <c r="M23" s="46">
        <v>6.22</v>
      </c>
      <c r="N23" s="36">
        <v>19</v>
      </c>
      <c r="O23" s="41">
        <v>42998.867719907408</v>
      </c>
    </row>
    <row r="24" spans="2:15" x14ac:dyDescent="0.25">
      <c r="B24" s="36" t="s">
        <v>2133</v>
      </c>
      <c r="C24" s="35" t="s">
        <v>33</v>
      </c>
      <c r="D24" s="36" t="s">
        <v>1100</v>
      </c>
      <c r="E24" s="37">
        <v>8.1791999999999998E-4</v>
      </c>
      <c r="F24" s="38">
        <v>3.2483300000000002</v>
      </c>
      <c r="G24" s="39">
        <v>3572290</v>
      </c>
      <c r="H24" s="39">
        <v>317314272</v>
      </c>
      <c r="I24" s="40">
        <v>97685356</v>
      </c>
      <c r="J24" s="40">
        <v>128935356</v>
      </c>
      <c r="K24" s="46">
        <v>-1.41</v>
      </c>
      <c r="L24" s="46">
        <v>0.38</v>
      </c>
      <c r="M24" s="46">
        <v>-8.5500000000000007</v>
      </c>
      <c r="N24" s="36">
        <v>20</v>
      </c>
      <c r="O24" s="41">
        <v>42998.867858796293</v>
      </c>
    </row>
    <row r="25" spans="2:15" x14ac:dyDescent="0.25">
      <c r="B25" s="36" t="s">
        <v>2125</v>
      </c>
      <c r="C25" s="35" t="s">
        <v>25</v>
      </c>
      <c r="D25" s="36" t="s">
        <v>1092</v>
      </c>
      <c r="E25" s="37">
        <v>2.9011E-4</v>
      </c>
      <c r="F25" s="38">
        <v>1.1521300000000001</v>
      </c>
      <c r="G25" s="39">
        <v>1579010</v>
      </c>
      <c r="H25" s="39">
        <v>278796812</v>
      </c>
      <c r="I25" s="40">
        <v>241983814</v>
      </c>
      <c r="J25" s="40">
        <v>258957908</v>
      </c>
      <c r="K25" s="46">
        <v>-0.43</v>
      </c>
      <c r="L25" s="46">
        <v>2.33</v>
      </c>
      <c r="M25" s="46">
        <v>-5.9</v>
      </c>
      <c r="N25" s="36">
        <v>21</v>
      </c>
      <c r="O25" s="41">
        <v>42998.867685185185</v>
      </c>
    </row>
    <row r="26" spans="2:15" x14ac:dyDescent="0.25">
      <c r="B26" s="36" t="s">
        <v>2127</v>
      </c>
      <c r="C26" s="35" t="s">
        <v>28</v>
      </c>
      <c r="D26" s="36" t="s">
        <v>1095</v>
      </c>
      <c r="E26" s="37">
        <v>1.4206000000000001E-4</v>
      </c>
      <c r="F26" s="38">
        <v>0.56417799999999996</v>
      </c>
      <c r="G26" s="39">
        <v>2192330</v>
      </c>
      <c r="H26" s="39">
        <v>255320115</v>
      </c>
      <c r="I26" s="40">
        <v>452552412</v>
      </c>
      <c r="J26" s="40">
        <v>452552412</v>
      </c>
      <c r="K26" s="46">
        <v>0.64</v>
      </c>
      <c r="L26" s="46">
        <v>0.67</v>
      </c>
      <c r="M26" s="46">
        <v>6.15</v>
      </c>
      <c r="N26" s="36">
        <v>22</v>
      </c>
      <c r="O26" s="41">
        <v>42998.867488425924</v>
      </c>
    </row>
    <row r="27" spans="2:15" x14ac:dyDescent="0.25">
      <c r="B27" s="36" t="s">
        <v>2120</v>
      </c>
      <c r="C27" s="35" t="s">
        <v>22</v>
      </c>
      <c r="D27" s="36" t="s">
        <v>1090</v>
      </c>
      <c r="E27" s="37">
        <v>3.2000000000000001E-7</v>
      </c>
      <c r="F27" s="38">
        <v>1.2714899999999999E-3</v>
      </c>
      <c r="G27" s="39">
        <v>1958360</v>
      </c>
      <c r="H27" s="39">
        <v>233005037</v>
      </c>
      <c r="I27" s="40">
        <v>183253534612</v>
      </c>
      <c r="J27" s="40">
        <v>183253534612</v>
      </c>
      <c r="K27" s="46">
        <v>-0.41</v>
      </c>
      <c r="L27" s="46">
        <v>-3.57</v>
      </c>
      <c r="M27" s="46">
        <v>-17.89</v>
      </c>
      <c r="N27" s="36">
        <v>23</v>
      </c>
      <c r="O27" s="41">
        <v>42998.867511574077</v>
      </c>
    </row>
    <row r="28" spans="2:15" x14ac:dyDescent="0.25">
      <c r="B28" s="36" t="s">
        <v>2130</v>
      </c>
      <c r="C28" s="35" t="s">
        <v>31</v>
      </c>
      <c r="D28" s="36" t="s">
        <v>1098</v>
      </c>
      <c r="E28" s="37">
        <v>7.0370000000000006E-5</v>
      </c>
      <c r="F28" s="38">
        <v>0.27945999999999999</v>
      </c>
      <c r="G28" s="39">
        <v>2370880</v>
      </c>
      <c r="H28" s="39">
        <v>232799123</v>
      </c>
      <c r="I28" s="40">
        <v>833032000</v>
      </c>
      <c r="J28" s="40">
        <v>1000000000</v>
      </c>
      <c r="K28" s="46">
        <v>-0.32</v>
      </c>
      <c r="L28" s="46">
        <v>6.11</v>
      </c>
      <c r="M28" s="46">
        <v>4.92</v>
      </c>
      <c r="N28" s="36">
        <v>24</v>
      </c>
      <c r="O28" s="41">
        <v>42998.867847222224</v>
      </c>
    </row>
    <row r="29" spans="2:15" x14ac:dyDescent="0.25">
      <c r="B29" s="36" t="s">
        <v>2123</v>
      </c>
      <c r="C29" s="35" t="s">
        <v>23</v>
      </c>
      <c r="D29" s="36" t="s">
        <v>23</v>
      </c>
      <c r="E29" s="37">
        <v>1.5888E-4</v>
      </c>
      <c r="F29" s="38">
        <v>0.63100199999999995</v>
      </c>
      <c r="G29" s="39">
        <v>8057510</v>
      </c>
      <c r="H29" s="39">
        <v>225339993</v>
      </c>
      <c r="I29" s="40">
        <v>357114546</v>
      </c>
      <c r="J29" s="40">
        <v>1000000000</v>
      </c>
      <c r="K29" s="46">
        <v>-0.3</v>
      </c>
      <c r="L29" s="46">
        <v>-3.83</v>
      </c>
      <c r="M29" s="46">
        <v>-12.99</v>
      </c>
      <c r="N29" s="36">
        <v>25</v>
      </c>
      <c r="O29" s="41">
        <v>42998.867951388886</v>
      </c>
    </row>
    <row r="30" spans="2:15" x14ac:dyDescent="0.25">
      <c r="B30" s="36" t="s">
        <v>2137</v>
      </c>
      <c r="C30" s="35" t="s">
        <v>39</v>
      </c>
      <c r="D30" s="36" t="s">
        <v>1107</v>
      </c>
      <c r="E30" s="37">
        <v>9.5130300000000004E-3</v>
      </c>
      <c r="F30" s="38">
        <v>37.780299999999997</v>
      </c>
      <c r="G30" s="39">
        <v>6076890</v>
      </c>
      <c r="H30" s="39">
        <v>218887333</v>
      </c>
      <c r="I30" s="40">
        <v>5793690</v>
      </c>
      <c r="J30" s="40">
        <v>6213690</v>
      </c>
      <c r="K30" s="46">
        <v>-1.92</v>
      </c>
      <c r="L30" s="46">
        <v>15.38</v>
      </c>
      <c r="M30" s="46">
        <v>39.89</v>
      </c>
      <c r="N30" s="36">
        <v>26</v>
      </c>
      <c r="O30" s="41">
        <v>42998.867662037039</v>
      </c>
    </row>
    <row r="31" spans="2:15" x14ac:dyDescent="0.25">
      <c r="B31" s="36" t="s">
        <v>2132</v>
      </c>
      <c r="C31" s="35" t="s">
        <v>30</v>
      </c>
      <c r="D31" s="36" t="s">
        <v>1097</v>
      </c>
      <c r="E31" s="37">
        <v>5.4629999999999997E-5</v>
      </c>
      <c r="F31" s="38">
        <v>0.216942</v>
      </c>
      <c r="G31" s="39">
        <v>3246100</v>
      </c>
      <c r="H31" s="39">
        <v>216942000</v>
      </c>
      <c r="I31" s="40">
        <v>1000000000</v>
      </c>
      <c r="J31" s="40">
        <v>1500000000</v>
      </c>
      <c r="K31" s="46">
        <v>0.39</v>
      </c>
      <c r="L31" s="46">
        <v>-0.86</v>
      </c>
      <c r="M31" s="46">
        <v>13.14</v>
      </c>
      <c r="N31" s="36">
        <v>27</v>
      </c>
      <c r="O31" s="41">
        <v>42998.867928240739</v>
      </c>
    </row>
    <row r="32" spans="2:15" x14ac:dyDescent="0.25">
      <c r="B32" s="36" t="s">
        <v>2121</v>
      </c>
      <c r="C32" s="35" t="s">
        <v>24</v>
      </c>
      <c r="D32" s="36" t="s">
        <v>1091</v>
      </c>
      <c r="E32" s="37">
        <v>2.0610000000000001E-5</v>
      </c>
      <c r="F32" s="38">
        <v>8.1862599999999994E-2</v>
      </c>
      <c r="G32" s="39">
        <v>12403700</v>
      </c>
      <c r="H32" s="39">
        <v>212784638</v>
      </c>
      <c r="I32" s="40">
        <v>2599290000</v>
      </c>
      <c r="J32" s="40">
        <v>2599290000</v>
      </c>
      <c r="K32" s="46">
        <v>0.35</v>
      </c>
      <c r="L32" s="46">
        <v>2.94</v>
      </c>
      <c r="M32" s="46">
        <v>-27.36</v>
      </c>
      <c r="N32" s="36">
        <v>28</v>
      </c>
      <c r="O32" s="41">
        <v>42998.867511574077</v>
      </c>
    </row>
    <row r="33" spans="2:15" x14ac:dyDescent="0.25">
      <c r="B33" s="36" t="s">
        <v>2124</v>
      </c>
      <c r="C33" s="35" t="s">
        <v>26</v>
      </c>
      <c r="D33" s="36" t="s">
        <v>1093</v>
      </c>
      <c r="E33" s="37">
        <v>3.1E-6</v>
      </c>
      <c r="F33" s="38">
        <v>1.2297000000000001E-2</v>
      </c>
      <c r="G33" s="39">
        <v>2191670</v>
      </c>
      <c r="H33" s="39">
        <v>203973087</v>
      </c>
      <c r="I33" s="40">
        <v>16587223471</v>
      </c>
      <c r="J33" s="40">
        <v>103274704386</v>
      </c>
      <c r="K33" s="46">
        <v>2.36</v>
      </c>
      <c r="L33" s="46">
        <v>4.51</v>
      </c>
      <c r="M33" s="46">
        <v>-19.86</v>
      </c>
      <c r="N33" s="36">
        <v>29</v>
      </c>
      <c r="O33" s="41">
        <v>42998.867523148147</v>
      </c>
    </row>
    <row r="34" spans="2:15" x14ac:dyDescent="0.25">
      <c r="B34" s="36" t="s">
        <v>2129</v>
      </c>
      <c r="C34" s="35" t="s">
        <v>29</v>
      </c>
      <c r="D34" s="36" t="s">
        <v>1096</v>
      </c>
      <c r="E34" s="37">
        <v>4.6684600000000001E-3</v>
      </c>
      <c r="F34" s="38">
        <v>18.540500000000002</v>
      </c>
      <c r="G34" s="39">
        <v>641626</v>
      </c>
      <c r="H34" s="39">
        <v>203945500</v>
      </c>
      <c r="I34" s="40">
        <v>11000000</v>
      </c>
      <c r="J34" s="40">
        <v>11000000</v>
      </c>
      <c r="K34" s="46">
        <v>0.11</v>
      </c>
      <c r="L34" s="46">
        <v>2.91</v>
      </c>
      <c r="M34" s="46">
        <v>-10.33</v>
      </c>
      <c r="N34" s="36">
        <v>30</v>
      </c>
      <c r="O34" s="41">
        <v>42998.867638888885</v>
      </c>
    </row>
    <row r="35" spans="2:15" x14ac:dyDescent="0.25">
      <c r="B35" s="36" t="s">
        <v>2122</v>
      </c>
      <c r="C35" s="35" t="s">
        <v>21</v>
      </c>
      <c r="D35" s="36" t="s">
        <v>1089</v>
      </c>
      <c r="E35" s="37">
        <v>4.8692000000000001E-4</v>
      </c>
      <c r="F35" s="38">
        <v>1.9337800000000001</v>
      </c>
      <c r="G35" s="39">
        <v>3515520</v>
      </c>
      <c r="H35" s="39">
        <v>202391948</v>
      </c>
      <c r="I35" s="40">
        <v>104661310</v>
      </c>
      <c r="J35" s="40">
        <v>205218256</v>
      </c>
      <c r="K35" s="46">
        <v>0.68</v>
      </c>
      <c r="L35" s="46">
        <v>-1.1599999999999999</v>
      </c>
      <c r="M35" s="46">
        <v>-16.52</v>
      </c>
      <c r="N35" s="36">
        <v>31</v>
      </c>
      <c r="O35" s="41">
        <v>42998.867962962962</v>
      </c>
    </row>
    <row r="36" spans="2:15" x14ac:dyDescent="0.25">
      <c r="B36" s="36" t="s">
        <v>2149</v>
      </c>
      <c r="C36" s="35" t="s">
        <v>50</v>
      </c>
      <c r="D36" s="36" t="s">
        <v>1117</v>
      </c>
      <c r="E36" s="37">
        <v>4.7362000000000001E-4</v>
      </c>
      <c r="F36" s="38">
        <v>1.8809400000000001</v>
      </c>
      <c r="G36" s="39">
        <v>1228430</v>
      </c>
      <c r="H36" s="39">
        <v>189872448</v>
      </c>
      <c r="I36" s="40">
        <v>100945510</v>
      </c>
      <c r="J36" s="40">
        <v>100945510</v>
      </c>
      <c r="K36" s="46">
        <v>0</v>
      </c>
      <c r="L36" s="46">
        <v>-3.87</v>
      </c>
      <c r="M36" s="46">
        <v>7.59</v>
      </c>
      <c r="N36" s="36">
        <v>32</v>
      </c>
      <c r="O36" s="41">
        <v>42998.867812500001</v>
      </c>
    </row>
    <row r="37" spans="2:15" x14ac:dyDescent="0.25">
      <c r="B37" s="36" t="s">
        <v>2147</v>
      </c>
      <c r="C37" s="35" t="s">
        <v>45</v>
      </c>
      <c r="D37" s="36" t="s">
        <v>1112</v>
      </c>
      <c r="E37" s="37">
        <v>2.3319300000000001E-2</v>
      </c>
      <c r="F37" s="38">
        <v>92.611099999999993</v>
      </c>
      <c r="G37" s="39">
        <v>572049</v>
      </c>
      <c r="H37" s="39">
        <v>186253373</v>
      </c>
      <c r="I37" s="40">
        <v>2011134</v>
      </c>
      <c r="J37" s="40">
        <v>100000000</v>
      </c>
      <c r="K37" s="46">
        <v>-4.8099999999999996</v>
      </c>
      <c r="L37" s="46">
        <v>3.41</v>
      </c>
      <c r="M37" s="46">
        <v>17.61</v>
      </c>
      <c r="N37" s="36">
        <v>33</v>
      </c>
      <c r="O37" s="41">
        <v>42998.867928240739</v>
      </c>
    </row>
    <row r="38" spans="2:15" x14ac:dyDescent="0.25">
      <c r="B38" s="36" t="s">
        <v>2113</v>
      </c>
      <c r="C38" s="35" t="s">
        <v>14</v>
      </c>
      <c r="D38" s="36" t="s">
        <v>1082</v>
      </c>
      <c r="E38" s="37">
        <v>1.3832199999999999E-3</v>
      </c>
      <c r="F38" s="38">
        <v>5.4893799999999997</v>
      </c>
      <c r="G38" s="39">
        <v>11325700</v>
      </c>
      <c r="H38" s="39">
        <v>184443168</v>
      </c>
      <c r="I38" s="40">
        <v>33600000</v>
      </c>
      <c r="J38" s="40">
        <v>84000000</v>
      </c>
      <c r="K38" s="46">
        <v>-0.67</v>
      </c>
      <c r="L38" s="46">
        <v>-5.82</v>
      </c>
      <c r="M38" s="46">
        <v>-51.17</v>
      </c>
      <c r="N38" s="36">
        <v>34</v>
      </c>
      <c r="O38" s="41">
        <v>42998.86451388889</v>
      </c>
    </row>
    <row r="39" spans="2:15" x14ac:dyDescent="0.25">
      <c r="B39" s="36" t="s">
        <v>2141</v>
      </c>
      <c r="C39" s="35" t="s">
        <v>40</v>
      </c>
      <c r="D39" s="36" t="s">
        <v>40</v>
      </c>
      <c r="E39" s="37">
        <v>8.4991000000000005E-4</v>
      </c>
      <c r="F39" s="38">
        <v>3.3753700000000002</v>
      </c>
      <c r="G39" s="39">
        <v>739418</v>
      </c>
      <c r="H39" s="39">
        <v>183380484</v>
      </c>
      <c r="I39" s="40">
        <v>54329002</v>
      </c>
      <c r="J39" s="40">
        <v>54329002</v>
      </c>
      <c r="K39" s="46">
        <v>2.0099999999999998</v>
      </c>
      <c r="L39" s="46">
        <v>4.08</v>
      </c>
      <c r="M39" s="46">
        <v>12.55</v>
      </c>
      <c r="N39" s="36">
        <v>35</v>
      </c>
      <c r="O39" s="41">
        <v>42998.867662037039</v>
      </c>
    </row>
    <row r="40" spans="2:15" x14ac:dyDescent="0.25">
      <c r="B40" s="36" t="s">
        <v>2151</v>
      </c>
      <c r="C40" s="35" t="s">
        <v>48</v>
      </c>
      <c r="D40" s="36" t="s">
        <v>1115</v>
      </c>
      <c r="E40" s="37">
        <v>8.0990999999999995E-4</v>
      </c>
      <c r="F40" s="38">
        <v>3.2164999999999999</v>
      </c>
      <c r="G40" s="39">
        <v>784908</v>
      </c>
      <c r="H40" s="39">
        <v>169012935</v>
      </c>
      <c r="I40" s="40">
        <v>52545604</v>
      </c>
      <c r="J40" s="40">
        <v>52545604</v>
      </c>
      <c r="K40" s="46">
        <v>0.86</v>
      </c>
      <c r="L40" s="46">
        <v>1.26</v>
      </c>
      <c r="M40" s="46">
        <v>-7.44</v>
      </c>
      <c r="N40" s="36">
        <v>36</v>
      </c>
      <c r="O40" s="41">
        <v>42998.867696759262</v>
      </c>
    </row>
    <row r="41" spans="2:15" x14ac:dyDescent="0.25">
      <c r="B41" s="36" t="s">
        <v>2136</v>
      </c>
      <c r="C41" s="35" t="s">
        <v>37</v>
      </c>
      <c r="D41" s="36" t="s">
        <v>1105</v>
      </c>
      <c r="E41" s="37">
        <v>2.1633300000000002E-3</v>
      </c>
      <c r="F41" s="38">
        <v>8.5914900000000003</v>
      </c>
      <c r="G41" s="39">
        <v>1967050</v>
      </c>
      <c r="H41" s="39">
        <v>165824297</v>
      </c>
      <c r="I41" s="40">
        <v>19300994</v>
      </c>
      <c r="J41" s="40">
        <v>66588888</v>
      </c>
      <c r="K41" s="46">
        <v>-0.68</v>
      </c>
      <c r="L41" s="46">
        <v>-1.28</v>
      </c>
      <c r="M41" s="46">
        <v>-10.45</v>
      </c>
      <c r="N41" s="36">
        <v>37</v>
      </c>
      <c r="O41" s="41">
        <v>42998.867962962962</v>
      </c>
    </row>
    <row r="42" spans="2:15" x14ac:dyDescent="0.25">
      <c r="B42" s="36" t="s">
        <v>2131</v>
      </c>
      <c r="C42" s="35" t="s">
        <v>32</v>
      </c>
      <c r="D42" s="36" t="s">
        <v>1099</v>
      </c>
      <c r="E42" s="37">
        <v>4.58772E-3</v>
      </c>
      <c r="F42" s="38">
        <v>18.219799999999999</v>
      </c>
      <c r="G42" s="39">
        <v>756770</v>
      </c>
      <c r="H42" s="39">
        <v>159334009</v>
      </c>
      <c r="I42" s="40">
        <v>8745102</v>
      </c>
      <c r="J42" s="40">
        <v>8745102</v>
      </c>
      <c r="K42" s="46">
        <v>-0.46</v>
      </c>
      <c r="L42" s="46">
        <v>-1.51</v>
      </c>
      <c r="M42" s="46">
        <v>-10.01</v>
      </c>
      <c r="N42" s="36">
        <v>38</v>
      </c>
      <c r="O42" s="41">
        <v>42998.867638888885</v>
      </c>
    </row>
    <row r="43" spans="2:15" x14ac:dyDescent="0.25">
      <c r="B43" s="36" t="s">
        <v>2128</v>
      </c>
      <c r="C43" s="35" t="s">
        <v>34</v>
      </c>
      <c r="D43" s="36" t="s">
        <v>1101</v>
      </c>
      <c r="E43" s="37">
        <v>3.8769999999999999E-4</v>
      </c>
      <c r="F43" s="38">
        <v>1.53972</v>
      </c>
      <c r="G43" s="39">
        <v>456902</v>
      </c>
      <c r="H43" s="39">
        <v>153818567</v>
      </c>
      <c r="I43" s="40">
        <v>99900350</v>
      </c>
      <c r="J43" s="40">
        <v>99900350</v>
      </c>
      <c r="K43" s="46">
        <v>-0.31</v>
      </c>
      <c r="L43" s="46">
        <v>-0.45</v>
      </c>
      <c r="M43" s="46">
        <v>-2.46</v>
      </c>
      <c r="N43" s="36">
        <v>39</v>
      </c>
      <c r="O43" s="41">
        <v>42998.867754629631</v>
      </c>
    </row>
    <row r="44" spans="2:15" x14ac:dyDescent="0.25">
      <c r="B44" s="36" t="s">
        <v>2143</v>
      </c>
      <c r="C44" s="35" t="s">
        <v>41</v>
      </c>
      <c r="D44" s="36" t="s">
        <v>1108</v>
      </c>
      <c r="E44" s="37">
        <v>1.8154199999999999E-2</v>
      </c>
      <c r="F44" s="38">
        <v>72.098299999999995</v>
      </c>
      <c r="G44" s="39">
        <v>141463</v>
      </c>
      <c r="H44" s="39">
        <v>144196600</v>
      </c>
      <c r="I44" s="40">
        <v>2000000</v>
      </c>
      <c r="J44" s="40">
        <v>2000000</v>
      </c>
      <c r="K44" s="46">
        <v>0.67</v>
      </c>
      <c r="L44" s="46">
        <v>-5.51</v>
      </c>
      <c r="M44" s="46">
        <v>-1.34</v>
      </c>
      <c r="N44" s="36">
        <v>40</v>
      </c>
      <c r="O44" s="41">
        <v>42998.867685185185</v>
      </c>
    </row>
    <row r="45" spans="2:15" x14ac:dyDescent="0.25">
      <c r="B45" s="36" t="s">
        <v>2139</v>
      </c>
      <c r="C45" s="35" t="s">
        <v>3219</v>
      </c>
      <c r="D45" s="36" t="s">
        <v>1104</v>
      </c>
      <c r="E45" s="37">
        <v>6.04769E-2</v>
      </c>
      <c r="F45" s="38">
        <v>240.18</v>
      </c>
      <c r="G45" s="39">
        <v>344852</v>
      </c>
      <c r="H45" s="39">
        <v>140240260</v>
      </c>
      <c r="I45" s="40">
        <v>583896</v>
      </c>
      <c r="J45" s="40">
        <v>1000000</v>
      </c>
      <c r="K45" s="46">
        <v>1.5</v>
      </c>
      <c r="L45" s="46">
        <v>0.76</v>
      </c>
      <c r="M45" s="46">
        <v>-10.61</v>
      </c>
      <c r="N45" s="36">
        <v>41</v>
      </c>
      <c r="O45" s="41">
        <v>42998.867812500001</v>
      </c>
    </row>
    <row r="46" spans="2:15" x14ac:dyDescent="0.25">
      <c r="B46" s="36" t="s">
        <v>2134</v>
      </c>
      <c r="C46" s="35" t="s">
        <v>35</v>
      </c>
      <c r="D46" s="36" t="s">
        <v>1102</v>
      </c>
      <c r="E46" s="37">
        <v>1.17E-6</v>
      </c>
      <c r="F46" s="38">
        <v>4.6466700000000003E-3</v>
      </c>
      <c r="G46" s="39">
        <v>2204530</v>
      </c>
      <c r="H46" s="39">
        <v>137107459</v>
      </c>
      <c r="I46" s="40">
        <v>29506605504</v>
      </c>
      <c r="J46" s="40">
        <v>29506605504</v>
      </c>
      <c r="K46" s="46">
        <v>-0.34</v>
      </c>
      <c r="L46" s="46">
        <v>1.48</v>
      </c>
      <c r="M46" s="46">
        <v>-17.37</v>
      </c>
      <c r="N46" s="36">
        <v>42</v>
      </c>
      <c r="O46" s="41">
        <v>42998.867615740739</v>
      </c>
    </row>
    <row r="47" spans="2:15" x14ac:dyDescent="0.25">
      <c r="B47" s="36" t="s">
        <v>2146</v>
      </c>
      <c r="C47" s="35" t="s">
        <v>44</v>
      </c>
      <c r="D47" s="36" t="s">
        <v>1111</v>
      </c>
      <c r="E47" s="37">
        <v>9.8380000000000003E-5</v>
      </c>
      <c r="F47" s="38">
        <v>0.39072000000000001</v>
      </c>
      <c r="G47" s="39">
        <v>1030490</v>
      </c>
      <c r="H47" s="39">
        <v>132883872</v>
      </c>
      <c r="I47" s="40">
        <v>340100000</v>
      </c>
      <c r="J47" s="40">
        <v>1000000000</v>
      </c>
      <c r="K47" s="46">
        <v>-1.23</v>
      </c>
      <c r="L47" s="46">
        <v>-1.06</v>
      </c>
      <c r="M47" s="46">
        <v>-1.27</v>
      </c>
      <c r="N47" s="36">
        <v>43</v>
      </c>
      <c r="O47" s="41">
        <v>42998.867986111109</v>
      </c>
    </row>
    <row r="48" spans="2:15" x14ac:dyDescent="0.25">
      <c r="B48" s="36" t="s">
        <v>2142</v>
      </c>
      <c r="C48" s="35" t="s">
        <v>46</v>
      </c>
      <c r="D48" s="36" t="s">
        <v>1113</v>
      </c>
      <c r="E48" s="37">
        <v>3.8099999999999999E-6</v>
      </c>
      <c r="F48" s="38">
        <v>1.51141E-2</v>
      </c>
      <c r="G48" s="39">
        <v>3789440</v>
      </c>
      <c r="H48" s="39">
        <v>132131296</v>
      </c>
      <c r="I48" s="40">
        <v>8742253657</v>
      </c>
      <c r="J48" s="40">
        <v>8742253657</v>
      </c>
      <c r="K48" s="46">
        <v>1.7</v>
      </c>
      <c r="L48" s="46">
        <v>9.34</v>
      </c>
      <c r="M48" s="46">
        <v>2.2999999999999998</v>
      </c>
      <c r="N48" s="36">
        <v>44</v>
      </c>
      <c r="O48" s="41">
        <v>42998.867430555554</v>
      </c>
    </row>
    <row r="49" spans="2:15" x14ac:dyDescent="0.25">
      <c r="B49" s="36" t="s">
        <v>2144</v>
      </c>
      <c r="C49" s="35" t="s">
        <v>49</v>
      </c>
      <c r="D49" s="36" t="s">
        <v>1116</v>
      </c>
      <c r="E49" s="37">
        <v>7.4284000000000004E-4</v>
      </c>
      <c r="F49" s="38">
        <v>2.9501200000000001</v>
      </c>
      <c r="G49" s="39">
        <v>259605</v>
      </c>
      <c r="H49" s="39">
        <v>121699076</v>
      </c>
      <c r="I49" s="40">
        <v>41252246</v>
      </c>
      <c r="J49" s="40">
        <v>53252246</v>
      </c>
      <c r="K49" s="46">
        <v>1.33</v>
      </c>
      <c r="L49" s="46">
        <v>-7.0000000000000007E-2</v>
      </c>
      <c r="M49" s="46">
        <v>-7.58</v>
      </c>
      <c r="N49" s="36">
        <v>45</v>
      </c>
      <c r="O49" s="41">
        <v>42998.867974537039</v>
      </c>
    </row>
    <row r="50" spans="2:15" x14ac:dyDescent="0.25">
      <c r="B50" s="36" t="s">
        <v>2171</v>
      </c>
      <c r="C50" s="35" t="s">
        <v>70</v>
      </c>
      <c r="D50" s="36" t="s">
        <v>1136</v>
      </c>
      <c r="E50" s="37">
        <v>2.3547100000000001E-2</v>
      </c>
      <c r="F50" s="38">
        <v>93.515500000000003</v>
      </c>
      <c r="G50" s="39">
        <v>58493.7</v>
      </c>
      <c r="H50" s="39">
        <v>120528592</v>
      </c>
      <c r="I50" s="40">
        <v>1288862</v>
      </c>
      <c r="J50" s="40">
        <v>1288862</v>
      </c>
      <c r="K50" s="46">
        <v>0.34</v>
      </c>
      <c r="L50" s="46">
        <v>1.1499999999999999</v>
      </c>
      <c r="M50" s="46">
        <v>16.62</v>
      </c>
      <c r="N50" s="36">
        <v>46</v>
      </c>
      <c r="O50" s="41">
        <v>42998.867488425924</v>
      </c>
    </row>
    <row r="51" spans="2:15" x14ac:dyDescent="0.25">
      <c r="B51" s="36" t="s">
        <v>2140</v>
      </c>
      <c r="C51" s="35" t="s">
        <v>42</v>
      </c>
      <c r="D51" s="36" t="s">
        <v>1109</v>
      </c>
      <c r="E51" s="37">
        <v>2.73662E-2</v>
      </c>
      <c r="F51" s="38">
        <v>108.68300000000001</v>
      </c>
      <c r="G51" s="39">
        <v>245330</v>
      </c>
      <c r="H51" s="39">
        <v>120050155</v>
      </c>
      <c r="I51" s="40">
        <v>1104590</v>
      </c>
      <c r="J51" s="40">
        <v>10000000</v>
      </c>
      <c r="K51" s="46">
        <v>0.11</v>
      </c>
      <c r="L51" s="46">
        <v>-0.81</v>
      </c>
      <c r="M51" s="46">
        <v>-7.37</v>
      </c>
      <c r="N51" s="36">
        <v>47</v>
      </c>
      <c r="O51" s="41">
        <v>42998.867905092593</v>
      </c>
    </row>
    <row r="52" spans="2:15" x14ac:dyDescent="0.25">
      <c r="B52" s="36" t="s">
        <v>2152</v>
      </c>
      <c r="C52" s="35" t="s">
        <v>53</v>
      </c>
      <c r="D52" s="36" t="s">
        <v>1120</v>
      </c>
      <c r="E52" s="37">
        <v>3.0029999999999999E-5</v>
      </c>
      <c r="F52" s="38">
        <v>0.11927400000000001</v>
      </c>
      <c r="G52" s="39">
        <v>852302</v>
      </c>
      <c r="H52" s="39">
        <v>119154666</v>
      </c>
      <c r="I52" s="40">
        <v>998999495</v>
      </c>
      <c r="J52" s="40">
        <v>998999495</v>
      </c>
      <c r="K52" s="46">
        <v>1.89</v>
      </c>
      <c r="L52" s="46">
        <v>5.84</v>
      </c>
      <c r="M52" s="46">
        <v>2.72</v>
      </c>
      <c r="N52" s="36">
        <v>48</v>
      </c>
      <c r="O52" s="41">
        <v>42998.867777777778</v>
      </c>
    </row>
    <row r="53" spans="2:15" x14ac:dyDescent="0.25">
      <c r="B53" s="36" t="s">
        <v>2168</v>
      </c>
      <c r="C53" s="35" t="s">
        <v>69</v>
      </c>
      <c r="D53" s="36" t="s">
        <v>1135</v>
      </c>
      <c r="E53" s="37">
        <v>4.8420000000000001E-5</v>
      </c>
      <c r="F53" s="38">
        <v>0.19231400000000001</v>
      </c>
      <c r="G53" s="39">
        <v>635993</v>
      </c>
      <c r="H53" s="39">
        <v>115388400</v>
      </c>
      <c r="I53" s="40">
        <v>600000000</v>
      </c>
      <c r="J53" s="40">
        <v>1000000000</v>
      </c>
      <c r="K53" s="46">
        <v>0.94</v>
      </c>
      <c r="L53" s="46">
        <v>4.8</v>
      </c>
      <c r="M53" s="46">
        <v>29.36</v>
      </c>
      <c r="N53" s="36">
        <v>49</v>
      </c>
      <c r="O53" s="41">
        <v>42998.867789351854</v>
      </c>
    </row>
    <row r="54" spans="2:15" x14ac:dyDescent="0.25">
      <c r="B54" s="36" t="s">
        <v>2148</v>
      </c>
      <c r="C54" s="35" t="s">
        <v>52</v>
      </c>
      <c r="D54" s="36" t="s">
        <v>1119</v>
      </c>
      <c r="E54" s="37">
        <v>4.4046999999999999E-4</v>
      </c>
      <c r="F54" s="38">
        <v>1.7493000000000001</v>
      </c>
      <c r="G54" s="39">
        <v>967366</v>
      </c>
      <c r="H54" s="39">
        <v>112361045</v>
      </c>
      <c r="I54" s="40">
        <v>64232004</v>
      </c>
      <c r="J54" s="40">
        <v>64232004</v>
      </c>
      <c r="K54" s="46">
        <v>-0.83</v>
      </c>
      <c r="L54" s="46">
        <v>2.41</v>
      </c>
      <c r="M54" s="46">
        <v>11.27</v>
      </c>
      <c r="N54" s="36">
        <v>50</v>
      </c>
      <c r="O54" s="41">
        <v>42998.867523148147</v>
      </c>
    </row>
    <row r="55" spans="2:15" x14ac:dyDescent="0.25">
      <c r="B55" s="36" t="s">
        <v>43</v>
      </c>
      <c r="C55" s="35" t="s">
        <v>43</v>
      </c>
      <c r="D55" s="36" t="s">
        <v>1110</v>
      </c>
      <c r="E55" s="37">
        <v>5.1999999999999997E-5</v>
      </c>
      <c r="F55" s="38">
        <v>0.20636499999999999</v>
      </c>
      <c r="G55" s="39">
        <v>1815080</v>
      </c>
      <c r="H55" s="39">
        <v>103182500</v>
      </c>
      <c r="I55" s="40">
        <v>500000000</v>
      </c>
      <c r="J55" s="40">
        <v>1000000000</v>
      </c>
      <c r="K55" s="46">
        <v>7.0000000000000007E-2</v>
      </c>
      <c r="L55" s="46">
        <v>-0.32</v>
      </c>
      <c r="M55" s="46">
        <v>-7.54</v>
      </c>
      <c r="N55" s="36">
        <v>51</v>
      </c>
      <c r="O55" s="41">
        <v>42998.864525462966</v>
      </c>
    </row>
    <row r="56" spans="2:15" x14ac:dyDescent="0.25">
      <c r="B56" s="36" t="s">
        <v>2154</v>
      </c>
      <c r="C56" s="35" t="s">
        <v>55</v>
      </c>
      <c r="D56" s="36" t="s">
        <v>1122</v>
      </c>
      <c r="E56" s="37">
        <v>5.70514E-3</v>
      </c>
      <c r="F56" s="38">
        <v>22.657599999999999</v>
      </c>
      <c r="G56" s="39">
        <v>242202</v>
      </c>
      <c r="H56" s="39">
        <v>95650763</v>
      </c>
      <c r="I56" s="40">
        <v>4221575</v>
      </c>
      <c r="J56" s="40">
        <v>4221575</v>
      </c>
      <c r="K56" s="46">
        <v>-3.32</v>
      </c>
      <c r="L56" s="46">
        <v>-9.2899999999999991</v>
      </c>
      <c r="M56" s="46">
        <v>25</v>
      </c>
      <c r="N56" s="36">
        <v>52</v>
      </c>
      <c r="O56" s="41">
        <v>42998.867534722223</v>
      </c>
    </row>
    <row r="57" spans="2:15" x14ac:dyDescent="0.25">
      <c r="B57" s="36" t="s">
        <v>2135</v>
      </c>
      <c r="C57" s="35" t="s">
        <v>36</v>
      </c>
      <c r="D57" s="36" t="s">
        <v>1103</v>
      </c>
      <c r="E57" s="37">
        <v>2.2000000000000001E-7</v>
      </c>
      <c r="F57" s="38">
        <v>8.5908899999999995E-4</v>
      </c>
      <c r="G57" s="39">
        <v>4846020</v>
      </c>
      <c r="H57" s="39">
        <v>95494931</v>
      </c>
      <c r="I57" s="40">
        <v>111158367632</v>
      </c>
      <c r="J57" s="40">
        <v>111158367632</v>
      </c>
      <c r="K57" s="46">
        <v>0.77</v>
      </c>
      <c r="L57" s="46">
        <v>-1.3</v>
      </c>
      <c r="M57" s="46">
        <v>-38.19</v>
      </c>
      <c r="N57" s="36">
        <v>53</v>
      </c>
      <c r="O57" s="41">
        <v>42998.867465277777</v>
      </c>
    </row>
    <row r="58" spans="2:15" x14ac:dyDescent="0.25">
      <c r="B58" s="36" t="s">
        <v>2159</v>
      </c>
      <c r="C58" s="35" t="s">
        <v>62</v>
      </c>
      <c r="D58" s="36" t="s">
        <v>1128</v>
      </c>
      <c r="E58" s="37">
        <v>4.3000000000000002E-5</v>
      </c>
      <c r="F58" s="38">
        <v>0.17077600000000001</v>
      </c>
      <c r="G58" s="39">
        <v>861634</v>
      </c>
      <c r="H58" s="39">
        <v>90107336</v>
      </c>
      <c r="I58" s="40">
        <v>527634655</v>
      </c>
      <c r="J58" s="40">
        <v>527634655</v>
      </c>
      <c r="K58" s="46">
        <v>0.59</v>
      </c>
      <c r="L58" s="46">
        <v>-1.28</v>
      </c>
      <c r="M58" s="46">
        <v>-24.26</v>
      </c>
      <c r="N58" s="36">
        <v>54</v>
      </c>
      <c r="O58" s="41">
        <v>42998.867511574077</v>
      </c>
    </row>
    <row r="59" spans="2:15" x14ac:dyDescent="0.25">
      <c r="B59" s="36" t="s">
        <v>2155</v>
      </c>
      <c r="C59" s="35" t="s">
        <v>58</v>
      </c>
      <c r="D59" s="36" t="s">
        <v>1124</v>
      </c>
      <c r="E59" s="37">
        <v>5.9000000000000003E-6</v>
      </c>
      <c r="F59" s="38">
        <v>2.3437599999999999E-2</v>
      </c>
      <c r="G59" s="39">
        <v>248530</v>
      </c>
      <c r="H59" s="39">
        <v>89987804</v>
      </c>
      <c r="I59" s="40">
        <v>3839463249</v>
      </c>
      <c r="J59" s="40">
        <v>17173696076</v>
      </c>
      <c r="K59" s="46">
        <v>0.36</v>
      </c>
      <c r="L59" s="46">
        <v>0.71</v>
      </c>
      <c r="M59" s="46">
        <v>11.98</v>
      </c>
      <c r="N59" s="36">
        <v>55</v>
      </c>
      <c r="O59" s="41">
        <v>42998.867951388886</v>
      </c>
    </row>
    <row r="60" spans="2:15" x14ac:dyDescent="0.25">
      <c r="B60" s="36" t="s">
        <v>2165</v>
      </c>
      <c r="C60" s="35" t="s">
        <v>65</v>
      </c>
      <c r="D60" s="36" t="s">
        <v>1131</v>
      </c>
      <c r="E60" s="37">
        <v>8.4450000000000006E-5</v>
      </c>
      <c r="F60" s="38">
        <v>0.33537600000000001</v>
      </c>
      <c r="G60" s="39">
        <v>108719</v>
      </c>
      <c r="H60" s="39">
        <v>89926319</v>
      </c>
      <c r="I60" s="40">
        <v>268135820</v>
      </c>
      <c r="J60" s="40">
        <v>1285690000</v>
      </c>
      <c r="K60" s="46">
        <v>0.08</v>
      </c>
      <c r="L60" s="46">
        <v>3.51</v>
      </c>
      <c r="M60" s="46">
        <v>7.15</v>
      </c>
      <c r="N60" s="36">
        <v>56</v>
      </c>
      <c r="O60" s="41">
        <v>42998.867800925924</v>
      </c>
    </row>
    <row r="61" spans="2:15" x14ac:dyDescent="0.25">
      <c r="B61" s="36" t="s">
        <v>2964</v>
      </c>
      <c r="C61" s="35" t="s">
        <v>3204</v>
      </c>
      <c r="D61" s="36" t="s">
        <v>1897</v>
      </c>
      <c r="E61" s="37">
        <v>9.6910000000000006E-5</v>
      </c>
      <c r="F61" s="38">
        <v>0.38485399999999997</v>
      </c>
      <c r="G61" s="39">
        <v>450622</v>
      </c>
      <c r="H61" s="39">
        <v>89678861</v>
      </c>
      <c r="I61" s="40">
        <v>233020472</v>
      </c>
      <c r="J61" s="40">
        <v>273685830</v>
      </c>
      <c r="K61" s="46">
        <v>0.66</v>
      </c>
      <c r="L61" s="46">
        <v>1.1200000000000001</v>
      </c>
      <c r="M61" s="46">
        <v>2.85</v>
      </c>
      <c r="N61" s="36">
        <v>57</v>
      </c>
      <c r="O61" s="41">
        <v>42998.867928240739</v>
      </c>
    </row>
    <row r="62" spans="2:15" x14ac:dyDescent="0.25">
      <c r="B62" s="36" t="s">
        <v>2156</v>
      </c>
      <c r="C62" s="35" t="s">
        <v>57</v>
      </c>
      <c r="D62" s="36" t="s">
        <v>1123</v>
      </c>
      <c r="E62" s="37">
        <v>5.5128000000000002E-4</v>
      </c>
      <c r="F62" s="38">
        <v>2.1893600000000002</v>
      </c>
      <c r="G62" s="39">
        <v>710441</v>
      </c>
      <c r="H62" s="39">
        <v>89266492</v>
      </c>
      <c r="I62" s="40">
        <v>40772871</v>
      </c>
      <c r="J62" s="40">
        <v>79384422</v>
      </c>
      <c r="K62" s="46">
        <v>0.09</v>
      </c>
      <c r="L62" s="46">
        <v>2.5</v>
      </c>
      <c r="M62" s="46">
        <v>3.85</v>
      </c>
      <c r="N62" s="36">
        <v>58</v>
      </c>
      <c r="O62" s="41">
        <v>42998.867939814816</v>
      </c>
    </row>
    <row r="63" spans="2:15" x14ac:dyDescent="0.25">
      <c r="B63" s="36" t="s">
        <v>2177</v>
      </c>
      <c r="C63" s="35" t="s">
        <v>74</v>
      </c>
      <c r="D63" s="36" t="s">
        <v>1140</v>
      </c>
      <c r="E63" s="37">
        <v>1.6300000000000001E-6</v>
      </c>
      <c r="F63" s="38">
        <v>6.4734099999999998E-3</v>
      </c>
      <c r="G63" s="39">
        <v>1781860</v>
      </c>
      <c r="H63" s="39">
        <v>86805012</v>
      </c>
      <c r="I63" s="40">
        <v>13409472280</v>
      </c>
      <c r="J63" s="40">
        <v>13409472280</v>
      </c>
      <c r="K63" s="46">
        <v>-0.04</v>
      </c>
      <c r="L63" s="46">
        <v>1.42</v>
      </c>
      <c r="M63" s="46">
        <v>4.6500000000000004</v>
      </c>
      <c r="N63" s="36">
        <v>59</v>
      </c>
      <c r="O63" s="41">
        <v>42998.867604166669</v>
      </c>
    </row>
    <row r="64" spans="2:15" x14ac:dyDescent="0.25">
      <c r="B64" s="36" t="s">
        <v>2161</v>
      </c>
      <c r="C64" s="35" t="s">
        <v>59</v>
      </c>
      <c r="D64" s="36" t="s">
        <v>1125</v>
      </c>
      <c r="E64" s="37">
        <v>2.1945799999999998E-3</v>
      </c>
      <c r="F64" s="38">
        <v>8.7156300000000009</v>
      </c>
      <c r="G64" s="39">
        <v>4402550</v>
      </c>
      <c r="H64" s="39">
        <v>85542821</v>
      </c>
      <c r="I64" s="40">
        <v>9814875</v>
      </c>
      <c r="J64" s="40">
        <v>31587682</v>
      </c>
      <c r="K64" s="46">
        <v>-0.42</v>
      </c>
      <c r="L64" s="46">
        <v>-6.66</v>
      </c>
      <c r="M64" s="46">
        <v>17.79</v>
      </c>
      <c r="N64" s="36">
        <v>60</v>
      </c>
      <c r="O64" s="41">
        <v>42998.867951388886</v>
      </c>
    </row>
    <row r="65" spans="2:15" x14ac:dyDescent="0.25">
      <c r="B65" s="36" t="s">
        <v>2145</v>
      </c>
      <c r="C65" s="35" t="s">
        <v>47</v>
      </c>
      <c r="D65" s="36" t="s">
        <v>1114</v>
      </c>
      <c r="E65" s="37">
        <v>6.1800000000000001E-6</v>
      </c>
      <c r="F65" s="38">
        <v>2.45632E-2</v>
      </c>
      <c r="G65" s="39">
        <v>1945670</v>
      </c>
      <c r="H65" s="39">
        <v>85246187</v>
      </c>
      <c r="I65" s="40">
        <v>3470483788</v>
      </c>
      <c r="J65" s="40">
        <v>6804870174</v>
      </c>
      <c r="K65" s="46">
        <v>-7.0000000000000007E-2</v>
      </c>
      <c r="L65" s="46">
        <v>1.48</v>
      </c>
      <c r="M65" s="46">
        <v>-6.12</v>
      </c>
      <c r="N65" s="36">
        <v>61</v>
      </c>
      <c r="O65" s="41">
        <v>42998.867951388886</v>
      </c>
    </row>
    <row r="66" spans="2:15" x14ac:dyDescent="0.25">
      <c r="B66" s="36" t="s">
        <v>2138</v>
      </c>
      <c r="C66" s="35" t="s">
        <v>38</v>
      </c>
      <c r="D66" s="36" t="s">
        <v>1106</v>
      </c>
      <c r="E66" s="37">
        <v>2.0005000000000001E-4</v>
      </c>
      <c r="F66" s="38">
        <v>0.79391500000000004</v>
      </c>
      <c r="G66" s="39">
        <v>2528220</v>
      </c>
      <c r="H66" s="39">
        <v>79391500</v>
      </c>
      <c r="I66" s="40">
        <v>100000000</v>
      </c>
      <c r="J66" s="40">
        <v>200000000</v>
      </c>
      <c r="K66" s="46">
        <v>-0.26</v>
      </c>
      <c r="L66" s="46">
        <v>-0.59</v>
      </c>
      <c r="M66" s="46">
        <v>-14.83</v>
      </c>
      <c r="N66" s="36">
        <v>62</v>
      </c>
      <c r="O66" s="41">
        <v>42998.864490740743</v>
      </c>
    </row>
    <row r="67" spans="2:15" x14ac:dyDescent="0.25">
      <c r="B67" s="36" t="s">
        <v>2977</v>
      </c>
      <c r="C67" s="35" t="s">
        <v>874</v>
      </c>
      <c r="D67" s="36" t="s">
        <v>1912</v>
      </c>
      <c r="E67" s="37">
        <v>1.6642999999999999E-4</v>
      </c>
      <c r="F67" s="38">
        <v>0.66095400000000004</v>
      </c>
      <c r="G67" s="39">
        <v>60336.2</v>
      </c>
      <c r="H67" s="39">
        <v>79232915</v>
      </c>
      <c r="I67" s="40">
        <v>119876595</v>
      </c>
      <c r="J67" s="40">
        <v>219151662</v>
      </c>
      <c r="K67" s="46">
        <v>5.67</v>
      </c>
      <c r="L67" s="46">
        <v>5.55</v>
      </c>
      <c r="M67" s="46">
        <v>1105.77</v>
      </c>
      <c r="N67" s="36">
        <v>63</v>
      </c>
      <c r="O67" s="41">
        <v>42998.867986111109</v>
      </c>
    </row>
    <row r="68" spans="2:15" x14ac:dyDescent="0.25">
      <c r="B68" s="36" t="s">
        <v>2157</v>
      </c>
      <c r="C68" s="35" t="s">
        <v>51</v>
      </c>
      <c r="D68" s="36" t="s">
        <v>1118</v>
      </c>
      <c r="E68" s="37">
        <v>2.3189600000000001E-3</v>
      </c>
      <c r="F68" s="38">
        <v>9.2095800000000008</v>
      </c>
      <c r="G68" s="39">
        <v>90628.2</v>
      </c>
      <c r="H68" s="39">
        <v>77518186</v>
      </c>
      <c r="I68" s="40">
        <v>8417125</v>
      </c>
      <c r="J68" s="40">
        <v>11140440</v>
      </c>
      <c r="K68" s="46">
        <v>1.22</v>
      </c>
      <c r="L68" s="46">
        <v>-1.52</v>
      </c>
      <c r="M68" s="46">
        <v>1.01</v>
      </c>
      <c r="N68" s="36">
        <v>64</v>
      </c>
      <c r="O68" s="41">
        <v>42998.867974537039</v>
      </c>
    </row>
    <row r="69" spans="2:15" x14ac:dyDescent="0.25">
      <c r="B69" s="36" t="s">
        <v>2195</v>
      </c>
      <c r="C69" s="35" t="s">
        <v>3278</v>
      </c>
      <c r="D69" s="36" t="s">
        <v>1164</v>
      </c>
      <c r="E69" s="37">
        <v>1.13247E-3</v>
      </c>
      <c r="F69" s="38">
        <v>4.4975199999999997</v>
      </c>
      <c r="G69" s="39">
        <v>2161660</v>
      </c>
      <c r="H69" s="39">
        <v>73611378</v>
      </c>
      <c r="I69" s="40">
        <v>16367104</v>
      </c>
      <c r="J69" s="40">
        <v>16367104</v>
      </c>
      <c r="K69" s="46">
        <v>0.35</v>
      </c>
      <c r="L69" s="46">
        <v>32.200000000000003</v>
      </c>
      <c r="M69" s="46">
        <v>62.49</v>
      </c>
      <c r="N69" s="36">
        <v>65</v>
      </c>
      <c r="O69" s="41">
        <v>42998.867511574077</v>
      </c>
    </row>
    <row r="70" spans="2:15" x14ac:dyDescent="0.25">
      <c r="B70" s="36" t="s">
        <v>2176</v>
      </c>
      <c r="C70" s="35" t="s">
        <v>79</v>
      </c>
      <c r="D70" s="36" t="s">
        <v>1144</v>
      </c>
      <c r="E70" s="37">
        <v>2.2478E-4</v>
      </c>
      <c r="F70" s="38">
        <v>0.89270899999999997</v>
      </c>
      <c r="G70" s="39">
        <v>6490220</v>
      </c>
      <c r="H70" s="39">
        <v>73243460</v>
      </c>
      <c r="I70" s="40">
        <v>82046288</v>
      </c>
      <c r="J70" s="40">
        <v>132046997</v>
      </c>
      <c r="K70" s="46">
        <v>-1.49</v>
      </c>
      <c r="L70" s="46">
        <v>9.2899999999999991</v>
      </c>
      <c r="M70" s="46">
        <v>5.03</v>
      </c>
      <c r="N70" s="36">
        <v>66</v>
      </c>
      <c r="O70" s="41">
        <v>42998.867858796293</v>
      </c>
    </row>
    <row r="71" spans="2:15" x14ac:dyDescent="0.25">
      <c r="B71" s="36" t="s">
        <v>2158</v>
      </c>
      <c r="C71" s="35" t="s">
        <v>60</v>
      </c>
      <c r="D71" s="36" t="s">
        <v>1126</v>
      </c>
      <c r="E71" s="37">
        <v>1.7459999999999999E-5</v>
      </c>
      <c r="F71" s="38">
        <v>6.9329399999999999E-2</v>
      </c>
      <c r="G71" s="39">
        <v>3006410</v>
      </c>
      <c r="H71" s="39">
        <v>69260067</v>
      </c>
      <c r="I71" s="40">
        <v>998999942</v>
      </c>
      <c r="J71" s="40">
        <v>998999942</v>
      </c>
      <c r="K71" s="46">
        <v>-7.0000000000000007E-2</v>
      </c>
      <c r="L71" s="46">
        <v>-0.1</v>
      </c>
      <c r="M71" s="46">
        <v>-9.2100000000000009</v>
      </c>
      <c r="N71" s="36">
        <v>67</v>
      </c>
      <c r="O71" s="41">
        <v>42998.867430555554</v>
      </c>
    </row>
    <row r="72" spans="2:15" x14ac:dyDescent="0.25">
      <c r="B72" s="36" t="s">
        <v>2192</v>
      </c>
      <c r="C72" s="35" t="s">
        <v>84</v>
      </c>
      <c r="D72" s="36" t="s">
        <v>1149</v>
      </c>
      <c r="E72" s="37">
        <v>1.5189000000000001E-4</v>
      </c>
      <c r="F72" s="38">
        <v>0.60322600000000004</v>
      </c>
      <c r="G72" s="39">
        <v>10860600</v>
      </c>
      <c r="H72" s="39">
        <v>68248507</v>
      </c>
      <c r="I72" s="40">
        <v>113139200</v>
      </c>
      <c r="J72" s="40">
        <v>113139200</v>
      </c>
      <c r="K72" s="46">
        <v>2.0699999999999998</v>
      </c>
      <c r="L72" s="46">
        <v>37.81</v>
      </c>
      <c r="M72" s="46">
        <v>98.96</v>
      </c>
      <c r="N72" s="36">
        <v>68</v>
      </c>
      <c r="O72" s="41">
        <v>42998.867708333331</v>
      </c>
    </row>
    <row r="73" spans="2:15" x14ac:dyDescent="0.25">
      <c r="B73" s="36" t="s">
        <v>2170</v>
      </c>
      <c r="C73" s="35" t="s">
        <v>82</v>
      </c>
      <c r="D73" s="36" t="s">
        <v>1147</v>
      </c>
      <c r="E73" s="37">
        <v>2.3996999999999999E-4</v>
      </c>
      <c r="F73" s="38">
        <v>0.95301000000000002</v>
      </c>
      <c r="G73" s="39">
        <v>677434</v>
      </c>
      <c r="H73" s="39">
        <v>67936202</v>
      </c>
      <c r="I73" s="40">
        <v>71285927</v>
      </c>
      <c r="J73" s="40">
        <v>222295208</v>
      </c>
      <c r="K73" s="46">
        <v>1.0900000000000001</v>
      </c>
      <c r="L73" s="46">
        <v>19.32</v>
      </c>
      <c r="M73" s="46">
        <v>10.32</v>
      </c>
      <c r="N73" s="36">
        <v>69</v>
      </c>
      <c r="O73" s="41">
        <v>42998.867986111109</v>
      </c>
    </row>
    <row r="74" spans="2:15" x14ac:dyDescent="0.25">
      <c r="B74" s="36" t="s">
        <v>2164</v>
      </c>
      <c r="C74" s="35" t="s">
        <v>68</v>
      </c>
      <c r="D74" s="36" t="s">
        <v>1134</v>
      </c>
      <c r="E74" s="37">
        <v>2.0366400000000002E-3</v>
      </c>
      <c r="F74" s="38">
        <v>8.0883599999999998</v>
      </c>
      <c r="G74" s="39">
        <v>151219</v>
      </c>
      <c r="H74" s="39">
        <v>62364129</v>
      </c>
      <c r="I74" s="40">
        <v>7710355</v>
      </c>
      <c r="J74" s="40">
        <v>8706355</v>
      </c>
      <c r="K74" s="46">
        <v>-1.94</v>
      </c>
      <c r="L74" s="46">
        <v>1.41</v>
      </c>
      <c r="M74" s="46">
        <v>0.56999999999999995</v>
      </c>
      <c r="N74" s="36">
        <v>70</v>
      </c>
      <c r="O74" s="41">
        <v>42998.867986111109</v>
      </c>
    </row>
    <row r="75" spans="2:15" x14ac:dyDescent="0.25">
      <c r="B75" s="36" t="s">
        <v>2163</v>
      </c>
      <c r="C75" s="35" t="s">
        <v>63</v>
      </c>
      <c r="D75" s="36" t="s">
        <v>1129</v>
      </c>
      <c r="E75" s="37">
        <v>4.0974000000000002E-4</v>
      </c>
      <c r="F75" s="38">
        <v>1.62727</v>
      </c>
      <c r="G75" s="39">
        <v>317318</v>
      </c>
      <c r="H75" s="39">
        <v>61793417</v>
      </c>
      <c r="I75" s="40">
        <v>37973672</v>
      </c>
      <c r="J75" s="40">
        <v>37973672</v>
      </c>
      <c r="K75" s="46">
        <v>0.94</v>
      </c>
      <c r="L75" s="46">
        <v>3.03</v>
      </c>
      <c r="M75" s="46">
        <v>-0.56999999999999995</v>
      </c>
      <c r="N75" s="36">
        <v>71</v>
      </c>
      <c r="O75" s="41">
        <v>42998.867534722223</v>
      </c>
    </row>
    <row r="76" spans="2:15" x14ac:dyDescent="0.25">
      <c r="B76" s="36" t="s">
        <v>2194</v>
      </c>
      <c r="C76" s="35" t="s">
        <v>95</v>
      </c>
      <c r="D76" s="36" t="s">
        <v>1160</v>
      </c>
      <c r="E76" s="37">
        <v>1.82041E-3</v>
      </c>
      <c r="F76" s="38">
        <v>7.2296300000000002</v>
      </c>
      <c r="G76" s="39">
        <v>637514</v>
      </c>
      <c r="H76" s="39">
        <v>61238647</v>
      </c>
      <c r="I76" s="40">
        <v>8470509</v>
      </c>
      <c r="J76" s="40">
        <v>110000000</v>
      </c>
      <c r="K76" s="46">
        <v>-0.04</v>
      </c>
      <c r="L76" s="46">
        <v>4.87</v>
      </c>
      <c r="M76" s="46">
        <v>16.690000000000001</v>
      </c>
      <c r="N76" s="36">
        <v>72</v>
      </c>
      <c r="O76" s="41">
        <v>42998.867824074077</v>
      </c>
    </row>
    <row r="77" spans="2:15" x14ac:dyDescent="0.25">
      <c r="B77" s="36" t="s">
        <v>2166</v>
      </c>
      <c r="C77" s="35" t="s">
        <v>67</v>
      </c>
      <c r="D77" s="36" t="s">
        <v>1133</v>
      </c>
      <c r="E77" s="37">
        <v>4.6373999999999997E-4</v>
      </c>
      <c r="F77" s="38">
        <v>1.84172</v>
      </c>
      <c r="G77" s="39">
        <v>396856</v>
      </c>
      <c r="H77" s="39">
        <v>60668335</v>
      </c>
      <c r="I77" s="40">
        <v>32941128</v>
      </c>
      <c r="J77" s="40">
        <v>39609524</v>
      </c>
      <c r="K77" s="46">
        <v>0.82</v>
      </c>
      <c r="L77" s="46">
        <v>-3.39</v>
      </c>
      <c r="M77" s="46">
        <v>1.95</v>
      </c>
      <c r="N77" s="36">
        <v>73</v>
      </c>
      <c r="O77" s="41">
        <v>42998.86791666667</v>
      </c>
    </row>
    <row r="78" spans="2:15" x14ac:dyDescent="0.25">
      <c r="B78" s="36" t="s">
        <v>2408</v>
      </c>
      <c r="C78" s="35" t="s">
        <v>305</v>
      </c>
      <c r="D78" s="36" t="s">
        <v>1367</v>
      </c>
      <c r="E78" s="37">
        <v>4.9999999999999998E-8</v>
      </c>
      <c r="F78" s="38">
        <v>1.9856600000000001E-4</v>
      </c>
      <c r="G78" s="39">
        <v>43233.1</v>
      </c>
      <c r="H78" s="39">
        <v>60184412</v>
      </c>
      <c r="I78" s="40">
        <v>303095254787</v>
      </c>
      <c r="J78" s="40">
        <v>8000000000000</v>
      </c>
      <c r="K78" s="46">
        <v>2.66</v>
      </c>
      <c r="L78" s="46">
        <v>26.82</v>
      </c>
      <c r="M78" s="46">
        <v>37.22</v>
      </c>
      <c r="N78" s="36">
        <v>74</v>
      </c>
      <c r="O78" s="41">
        <v>42998.86451388889</v>
      </c>
    </row>
    <row r="79" spans="2:15" x14ac:dyDescent="0.25">
      <c r="B79" s="36" t="s">
        <v>2174</v>
      </c>
      <c r="C79" s="35" t="s">
        <v>73</v>
      </c>
      <c r="D79" s="36" t="s">
        <v>1139</v>
      </c>
      <c r="E79" s="37">
        <v>1.6552E-4</v>
      </c>
      <c r="F79" s="38">
        <v>0.65736899999999998</v>
      </c>
      <c r="G79" s="39">
        <v>426070</v>
      </c>
      <c r="H79" s="39">
        <v>58971477</v>
      </c>
      <c r="I79" s="40">
        <v>89708333</v>
      </c>
      <c r="J79" s="40">
        <v>100000000</v>
      </c>
      <c r="K79" s="46">
        <v>0.05</v>
      </c>
      <c r="L79" s="46">
        <v>3.39</v>
      </c>
      <c r="M79" s="46">
        <v>6.79</v>
      </c>
      <c r="N79" s="36">
        <v>75</v>
      </c>
      <c r="O79" s="41">
        <v>42998.867812500001</v>
      </c>
    </row>
    <row r="80" spans="2:15" x14ac:dyDescent="0.25">
      <c r="B80" s="36" t="s">
        <v>2153</v>
      </c>
      <c r="C80" s="35" t="s">
        <v>54</v>
      </c>
      <c r="D80" s="36" t="s">
        <v>1121</v>
      </c>
      <c r="E80" s="37">
        <v>3.5542000000000001E-4</v>
      </c>
      <c r="F80" s="38">
        <v>1.4115200000000001</v>
      </c>
      <c r="G80" s="39">
        <v>20886.3</v>
      </c>
      <c r="H80" s="39">
        <v>57180675</v>
      </c>
      <c r="I80" s="40">
        <v>40510000</v>
      </c>
      <c r="J80" s="40">
        <v>100000000</v>
      </c>
      <c r="K80" s="46">
        <v>0</v>
      </c>
      <c r="L80" s="46">
        <v>11.94</v>
      </c>
      <c r="M80" s="46">
        <v>-11.08</v>
      </c>
      <c r="N80" s="36">
        <v>76</v>
      </c>
      <c r="O80" s="41">
        <v>42998.867951388886</v>
      </c>
    </row>
    <row r="81" spans="2:15" x14ac:dyDescent="0.25">
      <c r="B81" s="36" t="s">
        <v>2162</v>
      </c>
      <c r="C81" s="35" t="s">
        <v>78</v>
      </c>
      <c r="D81" s="36" t="s">
        <v>1143</v>
      </c>
      <c r="E81" s="37">
        <v>2.32E-4</v>
      </c>
      <c r="F81" s="38">
        <v>0.92135</v>
      </c>
      <c r="G81" s="39">
        <v>1227430</v>
      </c>
      <c r="H81" s="39">
        <v>56934810</v>
      </c>
      <c r="I81" s="40">
        <v>61794986</v>
      </c>
      <c r="J81" s="40">
        <v>61794986</v>
      </c>
      <c r="K81" s="46">
        <v>-0.27</v>
      </c>
      <c r="L81" s="46">
        <v>-2.0099999999999998</v>
      </c>
      <c r="M81" s="46">
        <v>-3.08</v>
      </c>
      <c r="N81" s="36">
        <v>77</v>
      </c>
      <c r="O81" s="41">
        <v>42998.867523148147</v>
      </c>
    </row>
    <row r="82" spans="2:15" x14ac:dyDescent="0.25">
      <c r="B82" s="36" t="s">
        <v>2172</v>
      </c>
      <c r="C82" s="35" t="s">
        <v>72</v>
      </c>
      <c r="D82" s="36" t="s">
        <v>1138</v>
      </c>
      <c r="E82" s="37">
        <v>4.3390000000000003E-5</v>
      </c>
      <c r="F82" s="38">
        <v>0.17231299999999999</v>
      </c>
      <c r="G82" s="39">
        <v>847345</v>
      </c>
      <c r="H82" s="39">
        <v>56001725</v>
      </c>
      <c r="I82" s="40">
        <v>325000000</v>
      </c>
      <c r="J82" s="40">
        <v>500000000</v>
      </c>
      <c r="K82" s="46">
        <v>-0.04</v>
      </c>
      <c r="L82" s="46">
        <v>-4.37</v>
      </c>
      <c r="M82" s="46">
        <v>25.39</v>
      </c>
      <c r="N82" s="36">
        <v>78</v>
      </c>
      <c r="O82" s="41">
        <v>42998.867951388886</v>
      </c>
    </row>
    <row r="83" spans="2:15" x14ac:dyDescent="0.25">
      <c r="B83" s="36" t="s">
        <v>2175</v>
      </c>
      <c r="C83" s="35" t="s">
        <v>75</v>
      </c>
      <c r="D83" s="36" t="s">
        <v>1141</v>
      </c>
      <c r="E83" s="37">
        <v>5.9984000000000003E-4</v>
      </c>
      <c r="F83" s="38">
        <v>2.3822299999999998</v>
      </c>
      <c r="G83" s="39">
        <v>1911800</v>
      </c>
      <c r="H83" s="39">
        <v>53838398</v>
      </c>
      <c r="I83" s="40">
        <v>22600000</v>
      </c>
      <c r="J83" s="40">
        <v>52244767</v>
      </c>
      <c r="K83" s="46">
        <v>19.559999999999999</v>
      </c>
      <c r="L83" s="46">
        <v>315.44</v>
      </c>
      <c r="M83" s="46">
        <v>149.34</v>
      </c>
      <c r="N83" s="36">
        <v>79</v>
      </c>
      <c r="O83" s="41">
        <v>42998.86791666667</v>
      </c>
    </row>
    <row r="84" spans="2:15" x14ac:dyDescent="0.25">
      <c r="B84" s="36" t="s">
        <v>2173</v>
      </c>
      <c r="C84" s="35" t="s">
        <v>71</v>
      </c>
      <c r="D84" s="36" t="s">
        <v>1137</v>
      </c>
      <c r="E84" s="37">
        <v>1.2909E-4</v>
      </c>
      <c r="F84" s="38">
        <v>0.51269200000000004</v>
      </c>
      <c r="G84" s="39">
        <v>292463</v>
      </c>
      <c r="H84" s="39">
        <v>50258626</v>
      </c>
      <c r="I84" s="40">
        <v>98028887</v>
      </c>
      <c r="J84" s="40">
        <v>100000000</v>
      </c>
      <c r="K84" s="46">
        <v>-1.41</v>
      </c>
      <c r="L84" s="46">
        <v>1.23</v>
      </c>
      <c r="M84" s="46">
        <v>1.76</v>
      </c>
      <c r="N84" s="36">
        <v>80</v>
      </c>
      <c r="O84" s="41">
        <v>42998.867928240739</v>
      </c>
    </row>
    <row r="85" spans="2:15" x14ac:dyDescent="0.25">
      <c r="B85" s="36" t="s">
        <v>2167</v>
      </c>
      <c r="C85" s="35" t="s">
        <v>66</v>
      </c>
      <c r="D85" s="36" t="s">
        <v>1132</v>
      </c>
      <c r="E85" s="37">
        <v>1.2098E-4</v>
      </c>
      <c r="F85" s="38">
        <v>0.48048400000000002</v>
      </c>
      <c r="G85" s="39">
        <v>891992</v>
      </c>
      <c r="H85" s="39">
        <v>47218857</v>
      </c>
      <c r="I85" s="40">
        <v>98273526</v>
      </c>
      <c r="J85" s="40">
        <v>424999998</v>
      </c>
      <c r="K85" s="46">
        <v>0.13</v>
      </c>
      <c r="L85" s="46">
        <v>4.8899999999999997</v>
      </c>
      <c r="M85" s="46">
        <v>-1.4</v>
      </c>
      <c r="N85" s="36">
        <v>81</v>
      </c>
      <c r="O85" s="41">
        <v>42998.867962962962</v>
      </c>
    </row>
    <row r="86" spans="2:15" x14ac:dyDescent="0.25">
      <c r="B86" s="36" t="s">
        <v>2183</v>
      </c>
      <c r="C86" s="35" t="s">
        <v>91</v>
      </c>
      <c r="D86" s="36" t="s">
        <v>1156</v>
      </c>
      <c r="E86" s="37">
        <v>1.4710999999999999E-4</v>
      </c>
      <c r="F86" s="38">
        <v>0.58425300000000002</v>
      </c>
      <c r="G86" s="39">
        <v>350182</v>
      </c>
      <c r="H86" s="39">
        <v>46197348</v>
      </c>
      <c r="I86" s="40">
        <v>79070793</v>
      </c>
      <c r="J86" s="40">
        <v>86999785</v>
      </c>
      <c r="K86" s="46">
        <v>1.64</v>
      </c>
      <c r="L86" s="46">
        <v>11.27</v>
      </c>
      <c r="M86" s="46">
        <v>14.05</v>
      </c>
      <c r="N86" s="36">
        <v>82</v>
      </c>
      <c r="O86" s="41">
        <v>42998.867893518516</v>
      </c>
    </row>
    <row r="87" spans="2:15" x14ac:dyDescent="0.25">
      <c r="B87" s="36" t="s">
        <v>2160</v>
      </c>
      <c r="C87" s="35" t="s">
        <v>61</v>
      </c>
      <c r="D87" s="36" t="s">
        <v>1127</v>
      </c>
      <c r="E87" s="37">
        <v>1.1770000000000001E-5</v>
      </c>
      <c r="F87" s="38">
        <v>4.6712900000000002E-2</v>
      </c>
      <c r="G87" s="39">
        <v>43542.6</v>
      </c>
      <c r="H87" s="39">
        <v>46105632</v>
      </c>
      <c r="I87" s="40">
        <v>987000000</v>
      </c>
      <c r="J87" s="40">
        <v>1407000000</v>
      </c>
      <c r="K87" s="46">
        <v>0.4</v>
      </c>
      <c r="L87" s="46">
        <v>-2.48</v>
      </c>
      <c r="M87" s="46">
        <v>17.55</v>
      </c>
      <c r="N87" s="36">
        <v>83</v>
      </c>
      <c r="O87" s="41">
        <v>42998.864502314813</v>
      </c>
    </row>
    <row r="88" spans="2:15" x14ac:dyDescent="0.25">
      <c r="B88" s="36" t="s">
        <v>2180</v>
      </c>
      <c r="C88" s="35" t="s">
        <v>77</v>
      </c>
      <c r="D88" s="36" t="s">
        <v>1142</v>
      </c>
      <c r="E88" s="37">
        <v>2.5340000000000001E-5</v>
      </c>
      <c r="F88" s="38">
        <v>0.100563</v>
      </c>
      <c r="G88" s="39">
        <v>1225480</v>
      </c>
      <c r="H88" s="39">
        <v>42489242</v>
      </c>
      <c r="I88" s="40">
        <v>422513667</v>
      </c>
      <c r="J88" s="40">
        <v>1000000000</v>
      </c>
      <c r="K88" s="46">
        <v>-0.08</v>
      </c>
      <c r="L88" s="46">
        <v>1.05</v>
      </c>
      <c r="M88" s="46">
        <v>-29.91</v>
      </c>
      <c r="N88" s="36">
        <v>84</v>
      </c>
      <c r="O88" s="41">
        <v>42998.864537037036</v>
      </c>
    </row>
    <row r="89" spans="2:15" x14ac:dyDescent="0.25">
      <c r="B89" s="36" t="s">
        <v>2189</v>
      </c>
      <c r="C89" s="35" t="s">
        <v>96</v>
      </c>
      <c r="D89" s="36" t="s">
        <v>1161</v>
      </c>
      <c r="E89" s="37">
        <v>3.012E-5</v>
      </c>
      <c r="F89" s="38">
        <v>0.119615</v>
      </c>
      <c r="G89" s="39">
        <v>71518.600000000006</v>
      </c>
      <c r="H89" s="39">
        <v>42227270</v>
      </c>
      <c r="I89" s="40">
        <v>353026545</v>
      </c>
      <c r="J89" s="40">
        <v>455046700</v>
      </c>
      <c r="K89" s="46">
        <v>-1.0900000000000001</v>
      </c>
      <c r="L89" s="46">
        <v>4.07</v>
      </c>
      <c r="M89" s="46">
        <v>1.68</v>
      </c>
      <c r="N89" s="36">
        <v>85</v>
      </c>
      <c r="O89" s="41">
        <v>42998.867488425924</v>
      </c>
    </row>
    <row r="90" spans="2:15" x14ac:dyDescent="0.25">
      <c r="B90" s="36" t="s">
        <v>3197</v>
      </c>
      <c r="C90" s="35" t="s">
        <v>3198</v>
      </c>
      <c r="D90" s="36" t="s">
        <v>3199</v>
      </c>
      <c r="E90" s="37">
        <v>4.8730000000000003E-5</v>
      </c>
      <c r="F90" s="38">
        <v>0.193386</v>
      </c>
      <c r="G90" s="39">
        <v>1020820</v>
      </c>
      <c r="H90" s="39">
        <v>41919002</v>
      </c>
      <c r="I90" s="40">
        <v>216763374</v>
      </c>
      <c r="J90" s="40">
        <v>402400000</v>
      </c>
      <c r="K90" s="46">
        <v>-0.3</v>
      </c>
      <c r="L90" s="46">
        <v>5.12</v>
      </c>
      <c r="M90" s="46">
        <v>-9.86</v>
      </c>
      <c r="N90" s="36">
        <v>86</v>
      </c>
      <c r="O90" s="41">
        <v>42998.864525462966</v>
      </c>
    </row>
    <row r="91" spans="2:15" x14ac:dyDescent="0.25">
      <c r="B91" s="36" t="s">
        <v>2186</v>
      </c>
      <c r="C91" s="35" t="s">
        <v>92</v>
      </c>
      <c r="D91" s="36" t="s">
        <v>1157</v>
      </c>
      <c r="E91" s="37">
        <v>1.8859999999999999E-5</v>
      </c>
      <c r="F91" s="38">
        <v>7.4832099999999999E-2</v>
      </c>
      <c r="G91" s="39">
        <v>70558.600000000006</v>
      </c>
      <c r="H91" s="39">
        <v>41905976</v>
      </c>
      <c r="I91" s="40">
        <v>560000000</v>
      </c>
      <c r="J91" s="40">
        <v>800000000</v>
      </c>
      <c r="K91" s="46">
        <v>-0.83</v>
      </c>
      <c r="L91" s="46">
        <v>-1.8</v>
      </c>
      <c r="M91" s="46">
        <v>-0.08</v>
      </c>
      <c r="N91" s="36">
        <v>87</v>
      </c>
      <c r="O91" s="41">
        <v>42998.864490740743</v>
      </c>
    </row>
    <row r="92" spans="2:15" x14ac:dyDescent="0.25">
      <c r="B92" s="36" t="s">
        <v>2169</v>
      </c>
      <c r="C92" s="35" t="s">
        <v>64</v>
      </c>
      <c r="D92" s="36" t="s">
        <v>1130</v>
      </c>
      <c r="E92" s="37">
        <v>5.117E-5</v>
      </c>
      <c r="F92" s="38">
        <v>0.203237</v>
      </c>
      <c r="G92" s="39">
        <v>67813.5</v>
      </c>
      <c r="H92" s="39">
        <v>41389046</v>
      </c>
      <c r="I92" s="40">
        <v>203649170</v>
      </c>
      <c r="J92" s="40">
        <v>203649170</v>
      </c>
      <c r="K92" s="46">
        <v>1.47</v>
      </c>
      <c r="L92" s="46">
        <v>-3.1</v>
      </c>
      <c r="M92" s="46">
        <v>11.27</v>
      </c>
      <c r="N92" s="36">
        <v>88</v>
      </c>
      <c r="O92" s="41">
        <v>42998.867743055554</v>
      </c>
    </row>
    <row r="93" spans="2:15" x14ac:dyDescent="0.25">
      <c r="B93" s="36" t="s">
        <v>2191</v>
      </c>
      <c r="C93" s="35" t="s">
        <v>98</v>
      </c>
      <c r="D93" s="36" t="s">
        <v>1163</v>
      </c>
      <c r="E93" s="37">
        <v>1.165E-4</v>
      </c>
      <c r="F93" s="38">
        <v>0.46267200000000003</v>
      </c>
      <c r="G93" s="39">
        <v>655575</v>
      </c>
      <c r="H93" s="39">
        <v>40091624</v>
      </c>
      <c r="I93" s="40">
        <v>86652367</v>
      </c>
      <c r="J93" s="40">
        <v>100000000</v>
      </c>
      <c r="K93" s="46">
        <v>-1.61</v>
      </c>
      <c r="L93" s="46">
        <v>-0.47</v>
      </c>
      <c r="M93" s="46">
        <v>-12.79</v>
      </c>
      <c r="N93" s="36">
        <v>89</v>
      </c>
      <c r="O93" s="41">
        <v>42998.867997685185</v>
      </c>
    </row>
    <row r="94" spans="2:15" x14ac:dyDescent="0.25">
      <c r="B94" s="36" t="s">
        <v>2214</v>
      </c>
      <c r="C94" s="35" t="s">
        <v>137</v>
      </c>
      <c r="D94" s="36" t="s">
        <v>1203</v>
      </c>
      <c r="E94" s="37">
        <v>3.1100000000000002E-4</v>
      </c>
      <c r="F94" s="38">
        <v>1.2351099999999999</v>
      </c>
      <c r="G94" s="39">
        <v>4393930</v>
      </c>
      <c r="H94" s="39">
        <v>39653938</v>
      </c>
      <c r="I94" s="40">
        <v>32105593</v>
      </c>
      <c r="J94" s="40">
        <v>100000000</v>
      </c>
      <c r="K94" s="46">
        <v>0.41</v>
      </c>
      <c r="L94" s="46">
        <v>8.75</v>
      </c>
      <c r="M94" s="46">
        <v>-42.85</v>
      </c>
      <c r="N94" s="36">
        <v>90</v>
      </c>
      <c r="O94" s="41">
        <v>42998.867777777778</v>
      </c>
    </row>
    <row r="95" spans="2:15" x14ac:dyDescent="0.25">
      <c r="B95" s="36" t="s">
        <v>2215</v>
      </c>
      <c r="C95" s="35" t="s">
        <v>112</v>
      </c>
      <c r="D95" s="36" t="s">
        <v>1178</v>
      </c>
      <c r="E95" s="37">
        <v>1.8647999999999999E-4</v>
      </c>
      <c r="F95" s="38">
        <v>0.74059200000000003</v>
      </c>
      <c r="G95" s="39">
        <v>75740.800000000003</v>
      </c>
      <c r="H95" s="39">
        <v>39394926</v>
      </c>
      <c r="I95" s="40">
        <v>53193831</v>
      </c>
      <c r="J95" s="40">
        <v>53193831</v>
      </c>
      <c r="K95" s="46">
        <v>0.08</v>
      </c>
      <c r="L95" s="46">
        <v>14.25</v>
      </c>
      <c r="M95" s="46">
        <v>16.93</v>
      </c>
      <c r="N95" s="36">
        <v>91</v>
      </c>
      <c r="O95" s="41">
        <v>42998.867465277777</v>
      </c>
    </row>
    <row r="96" spans="2:15" x14ac:dyDescent="0.25">
      <c r="B96" s="36" t="s">
        <v>2209</v>
      </c>
      <c r="C96" s="35" t="s">
        <v>116</v>
      </c>
      <c r="D96" s="36" t="s">
        <v>1182</v>
      </c>
      <c r="E96" s="37">
        <v>1.9269599999999999E-3</v>
      </c>
      <c r="F96" s="38">
        <v>7.6528</v>
      </c>
      <c r="G96" s="39">
        <v>660175</v>
      </c>
      <c r="H96" s="39">
        <v>39030113</v>
      </c>
      <c r="I96" s="40">
        <v>5100109</v>
      </c>
      <c r="J96" s="40">
        <v>5100109</v>
      </c>
      <c r="K96" s="46">
        <v>3.51</v>
      </c>
      <c r="L96" s="46">
        <v>-4.51</v>
      </c>
      <c r="M96" s="46">
        <v>-2.09</v>
      </c>
      <c r="N96" s="36">
        <v>92</v>
      </c>
      <c r="O96" s="41">
        <v>42998.867650462962</v>
      </c>
    </row>
    <row r="97" spans="2:15" x14ac:dyDescent="0.25">
      <c r="B97" s="36" t="s">
        <v>2185</v>
      </c>
      <c r="C97" s="35" t="s">
        <v>90</v>
      </c>
      <c r="D97" s="36" t="s">
        <v>1155</v>
      </c>
      <c r="E97" s="37">
        <v>1.6183099999999999E-2</v>
      </c>
      <c r="F97" s="38">
        <v>64.269900000000007</v>
      </c>
      <c r="G97" s="39">
        <v>232211</v>
      </c>
      <c r="H97" s="39">
        <v>38523378</v>
      </c>
      <c r="I97" s="40">
        <v>599400</v>
      </c>
      <c r="J97" s="40">
        <v>749400</v>
      </c>
      <c r="K97" s="46">
        <v>-0.11</v>
      </c>
      <c r="L97" s="46">
        <v>2.0099999999999998</v>
      </c>
      <c r="M97" s="46">
        <v>-1.28</v>
      </c>
      <c r="N97" s="36">
        <v>93</v>
      </c>
      <c r="O97" s="41">
        <v>42998.867847222224</v>
      </c>
    </row>
    <row r="98" spans="2:15" x14ac:dyDescent="0.25">
      <c r="B98" s="36" t="s">
        <v>2204</v>
      </c>
      <c r="C98" s="35" t="s">
        <v>109</v>
      </c>
      <c r="D98" s="36" t="s">
        <v>1175</v>
      </c>
      <c r="E98" s="37">
        <v>2.3785000000000001E-4</v>
      </c>
      <c r="F98" s="38">
        <v>0.94458900000000001</v>
      </c>
      <c r="G98" s="39">
        <v>1063000</v>
      </c>
      <c r="H98" s="39">
        <v>37426222</v>
      </c>
      <c r="I98" s="40">
        <v>39621700</v>
      </c>
      <c r="J98" s="40">
        <v>39621700</v>
      </c>
      <c r="K98" s="46">
        <v>0.97</v>
      </c>
      <c r="L98" s="46">
        <v>11.58</v>
      </c>
      <c r="M98" s="46">
        <v>35.68</v>
      </c>
      <c r="N98" s="36">
        <v>94</v>
      </c>
      <c r="O98" s="41">
        <v>42998.867442129631</v>
      </c>
    </row>
    <row r="99" spans="2:15" x14ac:dyDescent="0.25">
      <c r="B99" s="36" t="s">
        <v>2196</v>
      </c>
      <c r="C99" s="35" t="s">
        <v>88</v>
      </c>
      <c r="D99" s="36" t="s">
        <v>1153</v>
      </c>
      <c r="E99" s="37">
        <v>3.8001000000000002E-4</v>
      </c>
      <c r="F99" s="38">
        <v>1.50918</v>
      </c>
      <c r="G99" s="39">
        <v>372513</v>
      </c>
      <c r="H99" s="39">
        <v>35683136</v>
      </c>
      <c r="I99" s="40">
        <v>23644056</v>
      </c>
      <c r="J99" s="40">
        <v>30133540</v>
      </c>
      <c r="K99" s="46">
        <v>-0.28000000000000003</v>
      </c>
      <c r="L99" s="46">
        <v>4.43</v>
      </c>
      <c r="M99" s="46">
        <v>17.239999999999998</v>
      </c>
      <c r="N99" s="36">
        <v>95</v>
      </c>
      <c r="O99" s="41">
        <v>42998.867905092593</v>
      </c>
    </row>
    <row r="100" spans="2:15" x14ac:dyDescent="0.25">
      <c r="B100" s="36" t="s">
        <v>2200</v>
      </c>
      <c r="C100" s="35" t="s">
        <v>102</v>
      </c>
      <c r="D100" s="36" t="s">
        <v>1168</v>
      </c>
      <c r="E100" s="37">
        <v>2.8131100000000002E-3</v>
      </c>
      <c r="F100" s="38">
        <v>11.1721</v>
      </c>
      <c r="G100" s="39">
        <v>8242770</v>
      </c>
      <c r="H100" s="39">
        <v>33881509</v>
      </c>
      <c r="I100" s="40">
        <v>3032689</v>
      </c>
      <c r="J100" s="40">
        <v>3032689</v>
      </c>
      <c r="K100" s="46">
        <v>-2.5099999999999998</v>
      </c>
      <c r="L100" s="46">
        <v>24.3</v>
      </c>
      <c r="M100" s="46">
        <v>30.01</v>
      </c>
      <c r="N100" s="36">
        <v>96</v>
      </c>
      <c r="O100" s="41">
        <v>42998.867766203701</v>
      </c>
    </row>
    <row r="101" spans="2:15" x14ac:dyDescent="0.25">
      <c r="B101" s="36" t="s">
        <v>2187</v>
      </c>
      <c r="C101" s="35" t="s">
        <v>93</v>
      </c>
      <c r="D101" s="36" t="s">
        <v>1158</v>
      </c>
      <c r="E101" s="37">
        <v>3.4381E-4</v>
      </c>
      <c r="F101" s="38">
        <v>1.3654299999999999</v>
      </c>
      <c r="G101" s="39">
        <v>224745</v>
      </c>
      <c r="H101" s="39">
        <v>33244467</v>
      </c>
      <c r="I101" s="40">
        <v>24347251</v>
      </c>
      <c r="J101" s="40">
        <v>24347251</v>
      </c>
      <c r="K101" s="46">
        <v>0.06</v>
      </c>
      <c r="L101" s="46">
        <v>-3.38</v>
      </c>
      <c r="M101" s="46">
        <v>-1.77</v>
      </c>
      <c r="N101" s="36">
        <v>97</v>
      </c>
      <c r="O101" s="41">
        <v>42998.867407407408</v>
      </c>
    </row>
    <row r="102" spans="2:15" x14ac:dyDescent="0.25">
      <c r="B102" s="36" t="s">
        <v>2203</v>
      </c>
      <c r="C102" s="35" t="s">
        <v>101</v>
      </c>
      <c r="D102" s="36" t="s">
        <v>1167</v>
      </c>
      <c r="E102" s="37">
        <v>3.5648E-4</v>
      </c>
      <c r="F102" s="38">
        <v>1.4157200000000001</v>
      </c>
      <c r="G102" s="39">
        <v>1828860</v>
      </c>
      <c r="H102" s="39">
        <v>32320610</v>
      </c>
      <c r="I102" s="40">
        <v>22829804</v>
      </c>
      <c r="J102" s="40">
        <v>22829804</v>
      </c>
      <c r="K102" s="46">
        <v>0.21</v>
      </c>
      <c r="L102" s="46">
        <v>23.22</v>
      </c>
      <c r="M102" s="46">
        <v>51.46</v>
      </c>
      <c r="N102" s="36">
        <v>98</v>
      </c>
      <c r="O102" s="41">
        <v>42998.867523148147</v>
      </c>
    </row>
    <row r="103" spans="2:15" x14ac:dyDescent="0.25">
      <c r="B103" s="36" t="s">
        <v>2309</v>
      </c>
      <c r="C103" s="35" t="s">
        <v>205</v>
      </c>
      <c r="D103" s="36" t="s">
        <v>1270</v>
      </c>
      <c r="E103" s="37">
        <v>1.0852E-4</v>
      </c>
      <c r="F103" s="38">
        <v>0.43096200000000001</v>
      </c>
      <c r="G103" s="39">
        <v>4514490</v>
      </c>
      <c r="H103" s="39">
        <v>31296186</v>
      </c>
      <c r="I103" s="40">
        <v>72619364</v>
      </c>
      <c r="J103" s="40">
        <v>72619364</v>
      </c>
      <c r="K103" s="46">
        <v>0.88</v>
      </c>
      <c r="L103" s="46">
        <v>-8.2899999999999991</v>
      </c>
      <c r="M103" s="46">
        <v>-32.56</v>
      </c>
      <c r="N103" s="36">
        <v>99</v>
      </c>
      <c r="O103" s="41">
        <v>42998.867569444446</v>
      </c>
    </row>
    <row r="104" spans="2:15" x14ac:dyDescent="0.25">
      <c r="B104" s="36" t="s">
        <v>2182</v>
      </c>
      <c r="C104" s="35" t="s">
        <v>85</v>
      </c>
      <c r="D104" s="36" t="s">
        <v>1150</v>
      </c>
      <c r="E104" s="37">
        <v>1.4751E-4</v>
      </c>
      <c r="F104" s="38">
        <v>0.58582900000000004</v>
      </c>
      <c r="G104" s="39">
        <v>1963650</v>
      </c>
      <c r="H104" s="39">
        <v>31197606</v>
      </c>
      <c r="I104" s="40">
        <v>53253776</v>
      </c>
      <c r="J104" s="40">
        <v>100000000</v>
      </c>
      <c r="K104" s="46">
        <v>0.66</v>
      </c>
      <c r="L104" s="46">
        <v>-0.23</v>
      </c>
      <c r="M104" s="46">
        <v>-4.79</v>
      </c>
      <c r="N104" s="36">
        <v>100</v>
      </c>
      <c r="O104" s="41">
        <v>42998.867951388886</v>
      </c>
    </row>
    <row r="105" spans="2:15" x14ac:dyDescent="0.25">
      <c r="B105" s="36" t="s">
        <v>2934</v>
      </c>
      <c r="C105" s="35" t="s">
        <v>853</v>
      </c>
      <c r="D105" s="36" t="s">
        <v>1891</v>
      </c>
      <c r="E105" s="37">
        <v>1.1250000000000001E-5</v>
      </c>
      <c r="F105" s="38">
        <v>4.4665200000000002E-2</v>
      </c>
      <c r="G105" s="39">
        <v>28258.2</v>
      </c>
      <c r="H105" s="39">
        <v>31155675</v>
      </c>
      <c r="I105" s="40">
        <v>697538027</v>
      </c>
      <c r="J105" s="40">
        <v>1395076054</v>
      </c>
      <c r="K105" s="46">
        <v>-0.61</v>
      </c>
      <c r="L105" s="46">
        <v>-4.7300000000000004</v>
      </c>
      <c r="M105" s="46">
        <v>-4.1100000000000003</v>
      </c>
      <c r="N105" s="36">
        <v>101</v>
      </c>
      <c r="O105" s="41">
        <v>42998.864525462966</v>
      </c>
    </row>
    <row r="106" spans="2:15" x14ac:dyDescent="0.25">
      <c r="B106" s="36" t="s">
        <v>2933</v>
      </c>
      <c r="C106" s="35" t="s">
        <v>833</v>
      </c>
      <c r="D106" s="36" t="s">
        <v>1872</v>
      </c>
      <c r="E106" s="37">
        <v>3.1493999999999999E-4</v>
      </c>
      <c r="F106" s="38">
        <v>1.24986</v>
      </c>
      <c r="G106" s="39">
        <v>1420650</v>
      </c>
      <c r="H106" s="39">
        <v>31119237</v>
      </c>
      <c r="I106" s="40">
        <v>24898178</v>
      </c>
      <c r="J106" s="40">
        <v>70000000</v>
      </c>
      <c r="K106" s="46">
        <v>-8.3699999999999992</v>
      </c>
      <c r="L106" s="46">
        <v>-17.12</v>
      </c>
      <c r="M106" s="46">
        <v>-31.66</v>
      </c>
      <c r="N106" s="36">
        <v>102</v>
      </c>
      <c r="O106" s="41">
        <v>42998.864525462966</v>
      </c>
    </row>
    <row r="107" spans="2:15" x14ac:dyDescent="0.25">
      <c r="B107" s="36" t="s">
        <v>3319</v>
      </c>
      <c r="C107" s="35" t="s">
        <v>3286</v>
      </c>
      <c r="D107" s="36" t="s">
        <v>3220</v>
      </c>
      <c r="E107" s="37">
        <v>9.1180000000000005E-5</v>
      </c>
      <c r="F107" s="38">
        <v>0.36184500000000003</v>
      </c>
      <c r="G107" s="39">
        <v>39233</v>
      </c>
      <c r="H107" s="39">
        <v>31111025</v>
      </c>
      <c r="I107" s="40">
        <v>85978873</v>
      </c>
      <c r="J107" s="40">
        <v>130271020</v>
      </c>
      <c r="K107" s="46">
        <v>-1</v>
      </c>
      <c r="L107" s="46">
        <v>-5.0199999999999996</v>
      </c>
      <c r="M107" s="46">
        <v>10.4</v>
      </c>
      <c r="N107" s="36">
        <v>103</v>
      </c>
      <c r="O107" s="41">
        <v>42998.864525462966</v>
      </c>
    </row>
    <row r="108" spans="2:15" x14ac:dyDescent="0.25">
      <c r="B108" s="36" t="s">
        <v>2207</v>
      </c>
      <c r="C108" s="35" t="s">
        <v>108</v>
      </c>
      <c r="D108" s="36" t="s">
        <v>1174</v>
      </c>
      <c r="E108" s="37">
        <v>9.1490000000000007E-5</v>
      </c>
      <c r="F108" s="38">
        <v>0.363346</v>
      </c>
      <c r="G108" s="39">
        <v>32889</v>
      </c>
      <c r="H108" s="39">
        <v>30884410</v>
      </c>
      <c r="I108" s="40">
        <v>85000000</v>
      </c>
      <c r="J108" s="40">
        <v>100000000</v>
      </c>
      <c r="K108" s="46">
        <v>1.79</v>
      </c>
      <c r="L108" s="46">
        <v>-0.86</v>
      </c>
      <c r="M108" s="46">
        <v>-8.57</v>
      </c>
      <c r="N108" s="36">
        <v>104</v>
      </c>
      <c r="O108" s="41">
        <v>42998.867986111109</v>
      </c>
    </row>
    <row r="109" spans="2:15" x14ac:dyDescent="0.25">
      <c r="B109" s="36" t="s">
        <v>3320</v>
      </c>
      <c r="C109" s="35" t="s">
        <v>3321</v>
      </c>
      <c r="D109" s="36" t="s">
        <v>3322</v>
      </c>
      <c r="E109" s="37">
        <v>8.4999999999999995E-4</v>
      </c>
      <c r="F109" s="38">
        <v>3.3757199999999998</v>
      </c>
      <c r="G109" s="39">
        <v>11444.8</v>
      </c>
      <c r="H109" s="39">
        <v>30045596</v>
      </c>
      <c r="I109" s="40">
        <v>8900500</v>
      </c>
      <c r="J109" s="40">
        <v>25000000</v>
      </c>
      <c r="K109" s="46">
        <v>-0.05</v>
      </c>
      <c r="L109" s="46">
        <v>-2.87</v>
      </c>
      <c r="M109" s="46">
        <v>-13.77</v>
      </c>
      <c r="N109" s="36">
        <v>105</v>
      </c>
      <c r="O109" s="41">
        <v>42998.867928240739</v>
      </c>
    </row>
    <row r="110" spans="2:15" x14ac:dyDescent="0.25">
      <c r="B110" s="36" t="s">
        <v>2184</v>
      </c>
      <c r="C110" s="35" t="s">
        <v>89</v>
      </c>
      <c r="D110" s="36" t="s">
        <v>1154</v>
      </c>
      <c r="E110" s="37">
        <v>8.7709999999999999E-5</v>
      </c>
      <c r="F110" s="38">
        <v>0.34832600000000002</v>
      </c>
      <c r="G110" s="39">
        <v>835954</v>
      </c>
      <c r="H110" s="39">
        <v>29802205</v>
      </c>
      <c r="I110" s="40">
        <v>85558371</v>
      </c>
      <c r="J110" s="40">
        <v>93468691</v>
      </c>
      <c r="K110" s="46">
        <v>0.03</v>
      </c>
      <c r="L110" s="46">
        <v>-3.71</v>
      </c>
      <c r="M110" s="46">
        <v>-1.35</v>
      </c>
      <c r="N110" s="36">
        <v>106</v>
      </c>
      <c r="O110" s="41">
        <v>42998.867754629631</v>
      </c>
    </row>
    <row r="111" spans="2:15" x14ac:dyDescent="0.25">
      <c r="B111" s="36" t="s">
        <v>2198</v>
      </c>
      <c r="C111" s="35" t="s">
        <v>97</v>
      </c>
      <c r="D111" s="36" t="s">
        <v>1162</v>
      </c>
      <c r="E111" s="37">
        <v>2.6E-7</v>
      </c>
      <c r="F111" s="38">
        <v>1.0323000000000001E-3</v>
      </c>
      <c r="G111" s="39">
        <v>1912290</v>
      </c>
      <c r="H111" s="39">
        <v>29545785</v>
      </c>
      <c r="I111" s="40">
        <v>28621316118</v>
      </c>
      <c r="J111" s="40">
        <v>28621316118</v>
      </c>
      <c r="K111" s="46">
        <v>0.55000000000000004</v>
      </c>
      <c r="L111" s="46">
        <v>14.01</v>
      </c>
      <c r="M111" s="46">
        <v>-3.88</v>
      </c>
      <c r="N111" s="36">
        <v>107</v>
      </c>
      <c r="O111" s="41">
        <v>42998.867476851854</v>
      </c>
    </row>
    <row r="112" spans="2:15" x14ac:dyDescent="0.25">
      <c r="B112" s="36" t="s">
        <v>2193</v>
      </c>
      <c r="C112" s="35" t="s">
        <v>94</v>
      </c>
      <c r="D112" s="36" t="s">
        <v>1159</v>
      </c>
      <c r="E112" s="37">
        <v>8.2169999999999994E-5</v>
      </c>
      <c r="F112" s="38">
        <v>0.32634099999999999</v>
      </c>
      <c r="G112" s="39">
        <v>295059</v>
      </c>
      <c r="H112" s="39">
        <v>29519258</v>
      </c>
      <c r="I112" s="40">
        <v>90455253</v>
      </c>
      <c r="J112" s="40">
        <v>98812672</v>
      </c>
      <c r="K112" s="46">
        <v>-0.67</v>
      </c>
      <c r="L112" s="46">
        <v>0.57999999999999996</v>
      </c>
      <c r="M112" s="46">
        <v>-19.809999999999999</v>
      </c>
      <c r="N112" s="36">
        <v>108</v>
      </c>
      <c r="O112" s="41">
        <v>42998.867708333331</v>
      </c>
    </row>
    <row r="113" spans="2:15" x14ac:dyDescent="0.25">
      <c r="B113" s="36" t="s">
        <v>2217</v>
      </c>
      <c r="C113" s="35" t="s">
        <v>123</v>
      </c>
      <c r="D113" s="36" t="s">
        <v>1188</v>
      </c>
      <c r="E113" s="37">
        <v>1.0506E-4</v>
      </c>
      <c r="F113" s="38">
        <v>0.41721900000000001</v>
      </c>
      <c r="G113" s="39">
        <v>2669610</v>
      </c>
      <c r="H113" s="39">
        <v>29205330</v>
      </c>
      <c r="I113" s="40">
        <v>70000000</v>
      </c>
      <c r="J113" s="40">
        <v>100002000</v>
      </c>
      <c r="K113" s="46">
        <v>-0.23</v>
      </c>
      <c r="L113" s="46">
        <v>-4.04</v>
      </c>
      <c r="M113" s="46">
        <v>-12.03</v>
      </c>
      <c r="N113" s="36">
        <v>109</v>
      </c>
      <c r="O113" s="41">
        <v>42998.867928240739</v>
      </c>
    </row>
    <row r="114" spans="2:15" x14ac:dyDescent="0.25">
      <c r="B114" s="36" t="s">
        <v>2179</v>
      </c>
      <c r="C114" s="35" t="s">
        <v>80</v>
      </c>
      <c r="D114" s="36" t="s">
        <v>1145</v>
      </c>
      <c r="E114" s="37">
        <v>1.4133E-4</v>
      </c>
      <c r="F114" s="38">
        <v>0.56127099999999996</v>
      </c>
      <c r="G114" s="39">
        <v>265485</v>
      </c>
      <c r="H114" s="39">
        <v>28796620</v>
      </c>
      <c r="I114" s="40">
        <v>51306089</v>
      </c>
      <c r="J114" s="40">
        <v>73197775</v>
      </c>
      <c r="K114" s="46">
        <v>-0.28000000000000003</v>
      </c>
      <c r="L114" s="46">
        <v>-1.59</v>
      </c>
      <c r="M114" s="46">
        <v>-7.69</v>
      </c>
      <c r="N114" s="36">
        <v>110</v>
      </c>
      <c r="O114" s="41">
        <v>42998.867824074077</v>
      </c>
    </row>
    <row r="115" spans="2:15" x14ac:dyDescent="0.25">
      <c r="B115" s="36" t="s">
        <v>2213</v>
      </c>
      <c r="C115" s="35" t="s">
        <v>106</v>
      </c>
      <c r="D115" s="36" t="s">
        <v>1172</v>
      </c>
      <c r="E115" s="37">
        <v>8.8851999999999996E-4</v>
      </c>
      <c r="F115" s="38">
        <v>3.5287000000000002</v>
      </c>
      <c r="G115" s="39">
        <v>182931</v>
      </c>
      <c r="H115" s="39">
        <v>28744793</v>
      </c>
      <c r="I115" s="40">
        <v>8146001</v>
      </c>
      <c r="J115" s="40">
        <v>8146001</v>
      </c>
      <c r="K115" s="46">
        <v>-0.35</v>
      </c>
      <c r="L115" s="46">
        <v>0.64</v>
      </c>
      <c r="M115" s="46">
        <v>4.6399999999999997</v>
      </c>
      <c r="N115" s="36">
        <v>111</v>
      </c>
      <c r="O115" s="41">
        <v>42998.86787037037</v>
      </c>
    </row>
    <row r="116" spans="2:15" x14ac:dyDescent="0.25">
      <c r="B116" s="36" t="s">
        <v>2202</v>
      </c>
      <c r="C116" s="35" t="s">
        <v>104</v>
      </c>
      <c r="D116" s="36" t="s">
        <v>1170</v>
      </c>
      <c r="E116" s="36">
        <v>2.7642600000000002E-3</v>
      </c>
      <c r="F116" s="36">
        <v>10.9781</v>
      </c>
      <c r="G116" s="36">
        <v>335774</v>
      </c>
      <c r="H116" s="36">
        <v>28738488</v>
      </c>
      <c r="I116" s="40">
        <v>2617802</v>
      </c>
      <c r="J116" s="40">
        <v>2617802</v>
      </c>
      <c r="K116" s="46">
        <v>-2.3199999999999998</v>
      </c>
      <c r="L116" s="46">
        <v>-4.71</v>
      </c>
      <c r="M116" s="46">
        <v>-6.75</v>
      </c>
      <c r="N116" s="36">
        <v>112</v>
      </c>
      <c r="O116" s="41">
        <v>42998.867465277777</v>
      </c>
    </row>
    <row r="117" spans="2:15" x14ac:dyDescent="0.25">
      <c r="B117" s="36" t="s">
        <v>2199</v>
      </c>
      <c r="C117" s="35" t="s">
        <v>103</v>
      </c>
      <c r="D117" s="36" t="s">
        <v>1169</v>
      </c>
      <c r="E117" s="37">
        <v>1.3841E-4</v>
      </c>
      <c r="F117" s="38">
        <v>0.54966499999999996</v>
      </c>
      <c r="G117" s="39">
        <v>187635</v>
      </c>
      <c r="H117" s="39">
        <v>28582580</v>
      </c>
      <c r="I117" s="40">
        <v>52000000</v>
      </c>
      <c r="J117" s="40">
        <v>65000000</v>
      </c>
      <c r="K117" s="46">
        <v>0.27</v>
      </c>
      <c r="L117" s="46">
        <v>-0.63</v>
      </c>
      <c r="M117" s="46">
        <v>-2.92</v>
      </c>
      <c r="N117" s="36">
        <v>113</v>
      </c>
      <c r="O117" s="41">
        <v>42998.867951388886</v>
      </c>
    </row>
    <row r="118" spans="2:15" x14ac:dyDescent="0.25">
      <c r="B118" s="36" t="s">
        <v>2237</v>
      </c>
      <c r="C118" s="35" t="s">
        <v>132</v>
      </c>
      <c r="D118" s="36" t="s">
        <v>1198</v>
      </c>
      <c r="E118" s="37">
        <v>4.6329999999999999E-4</v>
      </c>
      <c r="F118" s="38">
        <v>1.8399399999999999</v>
      </c>
      <c r="G118" s="39">
        <v>201090</v>
      </c>
      <c r="H118" s="39">
        <v>28094198</v>
      </c>
      <c r="I118" s="40">
        <v>15269084</v>
      </c>
      <c r="J118" s="40">
        <v>15269084</v>
      </c>
      <c r="K118" s="46">
        <v>0.13</v>
      </c>
      <c r="L118" s="46">
        <v>23.18</v>
      </c>
      <c r="M118" s="46">
        <v>31.44</v>
      </c>
      <c r="N118" s="36">
        <v>114</v>
      </c>
      <c r="O118" s="41">
        <v>42998.86755787037</v>
      </c>
    </row>
    <row r="119" spans="2:15" x14ac:dyDescent="0.25">
      <c r="B119" s="36" t="s">
        <v>2197</v>
      </c>
      <c r="C119" s="35" t="s">
        <v>134</v>
      </c>
      <c r="D119" s="36" t="s">
        <v>1200</v>
      </c>
      <c r="E119" s="37">
        <v>7.6149999999999994E-5</v>
      </c>
      <c r="F119" s="38">
        <v>0.30243199999999998</v>
      </c>
      <c r="G119" s="39">
        <v>377500</v>
      </c>
      <c r="H119" s="39">
        <v>27868353</v>
      </c>
      <c r="I119" s="40">
        <v>92147500</v>
      </c>
      <c r="J119" s="40">
        <v>100000000</v>
      </c>
      <c r="K119" s="46">
        <v>2.31</v>
      </c>
      <c r="L119" s="46">
        <v>5.43</v>
      </c>
      <c r="M119" s="46">
        <v>20.57</v>
      </c>
      <c r="N119" s="36">
        <v>115</v>
      </c>
      <c r="O119" s="41">
        <v>42998.867893518516</v>
      </c>
    </row>
    <row r="120" spans="2:15" x14ac:dyDescent="0.25">
      <c r="B120" s="36" t="s">
        <v>2212</v>
      </c>
      <c r="C120" s="35" t="s">
        <v>107</v>
      </c>
      <c r="D120" s="36" t="s">
        <v>1173</v>
      </c>
      <c r="E120" s="37">
        <v>4.8829999999999998E-5</v>
      </c>
      <c r="F120" s="38">
        <v>0.19392599999999999</v>
      </c>
      <c r="G120" s="39">
        <v>132299</v>
      </c>
      <c r="H120" s="39">
        <v>27149640</v>
      </c>
      <c r="I120" s="40">
        <v>140000000</v>
      </c>
      <c r="J120" s="40">
        <v>200000000</v>
      </c>
      <c r="K120" s="46">
        <v>0.78</v>
      </c>
      <c r="L120" s="46">
        <v>1.71</v>
      </c>
      <c r="M120" s="46">
        <v>-1.76</v>
      </c>
      <c r="N120" s="36">
        <v>116</v>
      </c>
      <c r="O120" s="41">
        <v>42998.867997685185</v>
      </c>
    </row>
    <row r="121" spans="2:15" x14ac:dyDescent="0.25">
      <c r="B121" s="36" t="s">
        <v>2190</v>
      </c>
      <c r="C121" s="35" t="s">
        <v>87</v>
      </c>
      <c r="D121" s="36" t="s">
        <v>1152</v>
      </c>
      <c r="E121" s="37">
        <v>1.6658999999999999E-4</v>
      </c>
      <c r="F121" s="38">
        <v>0.66159800000000002</v>
      </c>
      <c r="G121" s="39">
        <v>287158</v>
      </c>
      <c r="H121" s="39">
        <v>26961972</v>
      </c>
      <c r="I121" s="40">
        <v>40752801</v>
      </c>
      <c r="J121" s="40">
        <v>40752801</v>
      </c>
      <c r="K121" s="46">
        <v>3.04</v>
      </c>
      <c r="L121" s="46">
        <v>2.0699999999999998</v>
      </c>
      <c r="M121" s="46">
        <v>-14.55</v>
      </c>
      <c r="N121" s="36">
        <v>117</v>
      </c>
      <c r="O121" s="41">
        <v>42998.867511574077</v>
      </c>
    </row>
    <row r="122" spans="2:15" x14ac:dyDescent="0.25">
      <c r="B122" s="36" t="s">
        <v>2223</v>
      </c>
      <c r="C122" s="35" t="s">
        <v>125</v>
      </c>
      <c r="D122" s="36" t="s">
        <v>1190</v>
      </c>
      <c r="E122" s="37">
        <v>1.2231000000000001E-4</v>
      </c>
      <c r="F122" s="38">
        <v>0.485736</v>
      </c>
      <c r="G122" s="39">
        <v>109038</v>
      </c>
      <c r="H122" s="39">
        <v>26265276</v>
      </c>
      <c r="I122" s="40">
        <v>54073150</v>
      </c>
      <c r="J122" s="40">
        <v>54073150</v>
      </c>
      <c r="K122" s="46">
        <v>-0.54</v>
      </c>
      <c r="L122" s="46">
        <v>5.72</v>
      </c>
      <c r="M122" s="46">
        <v>1.44</v>
      </c>
      <c r="N122" s="36">
        <v>118</v>
      </c>
      <c r="O122" s="41">
        <v>42998.867488425924</v>
      </c>
    </row>
    <row r="123" spans="2:15" x14ac:dyDescent="0.25">
      <c r="B123" s="36" t="s">
        <v>2224</v>
      </c>
      <c r="C123" s="35" t="s">
        <v>119</v>
      </c>
      <c r="D123" s="36" t="s">
        <v>1184</v>
      </c>
      <c r="E123" s="37">
        <v>1.9899999999999999E-5</v>
      </c>
      <c r="F123" s="38">
        <v>7.9021800000000003E-2</v>
      </c>
      <c r="G123" s="39">
        <v>326141</v>
      </c>
      <c r="H123" s="39">
        <v>26184664</v>
      </c>
      <c r="I123" s="40">
        <v>331360000</v>
      </c>
      <c r="J123" s="40">
        <v>444000000</v>
      </c>
      <c r="K123" s="46">
        <v>-0.17</v>
      </c>
      <c r="L123" s="46">
        <v>1.87</v>
      </c>
      <c r="M123" s="46">
        <v>-10.08</v>
      </c>
      <c r="N123" s="36">
        <v>119</v>
      </c>
      <c r="O123" s="41">
        <v>42998.867962962962</v>
      </c>
    </row>
    <row r="124" spans="2:15" x14ac:dyDescent="0.25">
      <c r="B124" s="36" t="s">
        <v>2221</v>
      </c>
      <c r="C124" s="35" t="s">
        <v>118</v>
      </c>
      <c r="D124" s="36" t="s">
        <v>1183</v>
      </c>
      <c r="E124" s="37">
        <v>9.4140999999999995E-4</v>
      </c>
      <c r="F124" s="38">
        <v>3.7387299999999999</v>
      </c>
      <c r="G124" s="39">
        <v>37145.699999999997</v>
      </c>
      <c r="H124" s="39">
        <v>26177177</v>
      </c>
      <c r="I124" s="40">
        <v>7001623</v>
      </c>
      <c r="J124" s="40">
        <v>7001623</v>
      </c>
      <c r="K124" s="46">
        <v>-0.27</v>
      </c>
      <c r="L124" s="46">
        <v>-1.53</v>
      </c>
      <c r="M124" s="46">
        <v>33.67</v>
      </c>
      <c r="N124" s="36">
        <v>120</v>
      </c>
      <c r="O124" s="41">
        <v>42998.86791666667</v>
      </c>
    </row>
    <row r="125" spans="2:15" x14ac:dyDescent="0.25">
      <c r="B125" s="36" t="s">
        <v>2230</v>
      </c>
      <c r="C125" s="35" t="s">
        <v>130</v>
      </c>
      <c r="D125" s="36" t="s">
        <v>1196</v>
      </c>
      <c r="E125" s="37">
        <v>3.9650000000000002E-5</v>
      </c>
      <c r="F125" s="38">
        <v>0.15735299999999999</v>
      </c>
      <c r="G125" s="39">
        <v>430957</v>
      </c>
      <c r="H125" s="39">
        <v>25951558</v>
      </c>
      <c r="I125" s="40">
        <v>164925727</v>
      </c>
      <c r="J125" s="40">
        <v>218000000</v>
      </c>
      <c r="K125" s="46">
        <v>-0.47</v>
      </c>
      <c r="L125" s="46">
        <v>-1.6</v>
      </c>
      <c r="M125" s="46">
        <v>-2.5099999999999998</v>
      </c>
      <c r="N125" s="36">
        <v>121</v>
      </c>
      <c r="O125" s="41">
        <v>42998.864525462966</v>
      </c>
    </row>
    <row r="126" spans="2:15" x14ac:dyDescent="0.25">
      <c r="B126" s="36" t="s">
        <v>81</v>
      </c>
      <c r="C126" s="35" t="s">
        <v>81</v>
      </c>
      <c r="D126" s="36" t="s">
        <v>1146</v>
      </c>
      <c r="E126" s="37">
        <v>1.063E-5</v>
      </c>
      <c r="F126" s="38">
        <v>4.2212800000000002E-2</v>
      </c>
      <c r="G126" s="39">
        <v>485698</v>
      </c>
      <c r="H126" s="39">
        <v>25327680</v>
      </c>
      <c r="I126" s="40">
        <v>600000000</v>
      </c>
      <c r="J126" s="40">
        <v>1000000000</v>
      </c>
      <c r="K126" s="46">
        <v>-0.08</v>
      </c>
      <c r="L126" s="46">
        <v>4.6100000000000003</v>
      </c>
      <c r="M126" s="46">
        <v>1.6</v>
      </c>
      <c r="N126" s="36">
        <v>122</v>
      </c>
      <c r="O126" s="41">
        <v>42998.868009259262</v>
      </c>
    </row>
    <row r="127" spans="2:15" x14ac:dyDescent="0.25">
      <c r="B127" s="36" t="s">
        <v>2206</v>
      </c>
      <c r="C127" s="35" t="s">
        <v>105</v>
      </c>
      <c r="D127" s="36" t="s">
        <v>1171</v>
      </c>
      <c r="E127" s="37">
        <v>7.2599999999999999E-6</v>
      </c>
      <c r="F127" s="38">
        <v>2.8851700000000001E-2</v>
      </c>
      <c r="G127" s="39">
        <v>204324</v>
      </c>
      <c r="H127" s="39">
        <v>24523945</v>
      </c>
      <c r="I127" s="40">
        <v>850000000</v>
      </c>
      <c r="J127" s="40">
        <v>1000000000</v>
      </c>
      <c r="K127" s="46">
        <v>0.03</v>
      </c>
      <c r="L127" s="46">
        <v>-0.55000000000000004</v>
      </c>
      <c r="M127" s="46">
        <v>5.38</v>
      </c>
      <c r="N127" s="36">
        <v>123</v>
      </c>
      <c r="O127" s="41">
        <v>42998.867789351854</v>
      </c>
    </row>
    <row r="128" spans="2:15" x14ac:dyDescent="0.25">
      <c r="B128" s="36" t="s">
        <v>2225</v>
      </c>
      <c r="C128" s="35" t="s">
        <v>122</v>
      </c>
      <c r="D128" s="36" t="s">
        <v>1187</v>
      </c>
      <c r="E128" s="37">
        <v>1.57928E-3</v>
      </c>
      <c r="F128" s="38">
        <v>6.2719800000000001</v>
      </c>
      <c r="G128" s="39">
        <v>27977.8</v>
      </c>
      <c r="H128" s="39">
        <v>23880273</v>
      </c>
      <c r="I128" s="40">
        <v>3807454</v>
      </c>
      <c r="J128" s="40">
        <v>3969565</v>
      </c>
      <c r="K128" s="46">
        <v>-0.14000000000000001</v>
      </c>
      <c r="L128" s="46">
        <v>2.94</v>
      </c>
      <c r="M128" s="46">
        <v>8.48</v>
      </c>
      <c r="N128" s="36">
        <v>124</v>
      </c>
      <c r="O128" s="41">
        <v>42998.867962962962</v>
      </c>
    </row>
    <row r="129" spans="2:15" x14ac:dyDescent="0.25">
      <c r="B129" s="36" t="s">
        <v>2211</v>
      </c>
      <c r="C129" s="35" t="s">
        <v>111</v>
      </c>
      <c r="D129" s="36" t="s">
        <v>1177</v>
      </c>
      <c r="E129" s="37">
        <v>9.9199999999999999E-6</v>
      </c>
      <c r="F129" s="38">
        <v>3.9397799999999997E-2</v>
      </c>
      <c r="G129" s="39">
        <v>35662.699999999997</v>
      </c>
      <c r="H129" s="39">
        <v>23638680</v>
      </c>
      <c r="I129" s="40">
        <v>600000000</v>
      </c>
      <c r="J129" s="40">
        <v>1000000000</v>
      </c>
      <c r="K129" s="46">
        <v>0</v>
      </c>
      <c r="L129" s="46">
        <v>2.3199999999999998</v>
      </c>
      <c r="M129" s="46">
        <v>1.88</v>
      </c>
      <c r="N129" s="36">
        <v>125</v>
      </c>
      <c r="O129" s="41">
        <v>42998.867951388886</v>
      </c>
    </row>
    <row r="130" spans="2:15" x14ac:dyDescent="0.25">
      <c r="B130" s="36" t="s">
        <v>2235</v>
      </c>
      <c r="C130" s="35" t="s">
        <v>135</v>
      </c>
      <c r="D130" s="36" t="s">
        <v>1201</v>
      </c>
      <c r="E130" s="37">
        <v>4.6190000000000003E-5</v>
      </c>
      <c r="F130" s="38">
        <v>0.18345</v>
      </c>
      <c r="G130" s="39">
        <v>106330</v>
      </c>
      <c r="H130" s="39">
        <v>23318292</v>
      </c>
      <c r="I130" s="40">
        <v>127109793</v>
      </c>
      <c r="J130" s="40">
        <v>127109793</v>
      </c>
      <c r="K130" s="46">
        <v>-0.18</v>
      </c>
      <c r="L130" s="46">
        <v>0.55000000000000004</v>
      </c>
      <c r="M130" s="46">
        <v>16.45</v>
      </c>
      <c r="N130" s="36">
        <v>126</v>
      </c>
      <c r="O130" s="41">
        <v>42998.867569444446</v>
      </c>
    </row>
    <row r="131" spans="2:15" x14ac:dyDescent="0.25">
      <c r="B131" s="36" t="s">
        <v>2222</v>
      </c>
      <c r="C131" s="35" t="s">
        <v>117</v>
      </c>
      <c r="D131" s="36" t="s">
        <v>117</v>
      </c>
      <c r="E131" s="37">
        <v>3.5142000000000002E-4</v>
      </c>
      <c r="F131" s="38">
        <v>1.39564</v>
      </c>
      <c r="G131" s="39">
        <v>219006</v>
      </c>
      <c r="H131" s="39">
        <v>22823809</v>
      </c>
      <c r="I131" s="40">
        <v>16353651</v>
      </c>
      <c r="J131" s="40">
        <v>22253651</v>
      </c>
      <c r="K131" s="46">
        <v>1.67</v>
      </c>
      <c r="L131" s="46">
        <v>6.3</v>
      </c>
      <c r="M131" s="46">
        <v>0.28000000000000003</v>
      </c>
      <c r="N131" s="36">
        <v>127</v>
      </c>
      <c r="O131" s="41">
        <v>42998.867708333331</v>
      </c>
    </row>
    <row r="132" spans="2:15" x14ac:dyDescent="0.25">
      <c r="B132" s="36" t="s">
        <v>2238</v>
      </c>
      <c r="C132" s="35" t="s">
        <v>531</v>
      </c>
      <c r="D132" s="36" t="s">
        <v>1586</v>
      </c>
      <c r="E132" s="37">
        <v>6.9980099999999998E-3</v>
      </c>
      <c r="F132" s="38">
        <v>27.792100000000001</v>
      </c>
      <c r="G132" s="39">
        <v>833.76300000000003</v>
      </c>
      <c r="H132" s="39">
        <v>22680043</v>
      </c>
      <c r="I132" s="40">
        <v>816061</v>
      </c>
      <c r="J132" s="40">
        <v>816061</v>
      </c>
      <c r="K132" s="46">
        <v>-0.43</v>
      </c>
      <c r="L132" s="46">
        <v>5.46</v>
      </c>
      <c r="M132" s="46">
        <v>20.81</v>
      </c>
      <c r="N132" s="36">
        <v>128</v>
      </c>
      <c r="O132" s="41">
        <v>42998.86755787037</v>
      </c>
    </row>
    <row r="133" spans="2:15" x14ac:dyDescent="0.25">
      <c r="B133" s="36" t="s">
        <v>2252</v>
      </c>
      <c r="C133" s="35" t="s">
        <v>143</v>
      </c>
      <c r="D133" s="36" t="s">
        <v>1210</v>
      </c>
      <c r="E133" s="37">
        <v>8.2869999999999998E-5</v>
      </c>
      <c r="F133" s="38">
        <v>0.32912000000000002</v>
      </c>
      <c r="G133" s="39">
        <v>360253</v>
      </c>
      <c r="H133" s="39">
        <v>21893584</v>
      </c>
      <c r="I133" s="40">
        <v>66521586</v>
      </c>
      <c r="J133" s="40">
        <v>66521586</v>
      </c>
      <c r="K133" s="46">
        <v>0.13</v>
      </c>
      <c r="L133" s="46">
        <v>2.34</v>
      </c>
      <c r="M133" s="46">
        <v>37.92</v>
      </c>
      <c r="N133" s="36">
        <v>129</v>
      </c>
      <c r="O133" s="41">
        <v>42998.867812500001</v>
      </c>
    </row>
    <row r="134" spans="2:15" x14ac:dyDescent="0.25">
      <c r="B134" s="36" t="s">
        <v>2210</v>
      </c>
      <c r="C134" s="35" t="s">
        <v>110</v>
      </c>
      <c r="D134" s="36" t="s">
        <v>1176</v>
      </c>
      <c r="E134" s="37">
        <v>1.6464999999999999E-4</v>
      </c>
      <c r="F134" s="38">
        <v>0.653914</v>
      </c>
      <c r="G134" s="39">
        <v>249498</v>
      </c>
      <c r="H134" s="39">
        <v>21834513</v>
      </c>
      <c r="I134" s="40">
        <v>33390496</v>
      </c>
      <c r="J134" s="40">
        <v>33390496</v>
      </c>
      <c r="K134" s="46">
        <v>-0.04</v>
      </c>
      <c r="L134" s="46">
        <v>13.67</v>
      </c>
      <c r="M134" s="46">
        <v>-9.58</v>
      </c>
      <c r="N134" s="36">
        <v>130</v>
      </c>
      <c r="O134" s="41">
        <v>42998.867812500001</v>
      </c>
    </row>
    <row r="135" spans="2:15" x14ac:dyDescent="0.25">
      <c r="B135" s="36" t="s">
        <v>2227</v>
      </c>
      <c r="C135" s="35" t="s">
        <v>120</v>
      </c>
      <c r="D135" s="36" t="s">
        <v>1185</v>
      </c>
      <c r="E135" s="37">
        <v>9.4809999999999995E-5</v>
      </c>
      <c r="F135" s="38">
        <v>0.37652099999999999</v>
      </c>
      <c r="G135" s="39">
        <v>1761730</v>
      </c>
      <c r="H135" s="39">
        <v>21290522</v>
      </c>
      <c r="I135" s="40">
        <v>56545378</v>
      </c>
      <c r="J135" s="40">
        <v>83337000</v>
      </c>
      <c r="K135" s="46">
        <v>-0.14000000000000001</v>
      </c>
      <c r="L135" s="46">
        <v>-1.24</v>
      </c>
      <c r="M135" s="46">
        <v>34.15</v>
      </c>
      <c r="N135" s="36">
        <v>131</v>
      </c>
      <c r="O135" s="41">
        <v>42998.867986111109</v>
      </c>
    </row>
    <row r="136" spans="2:15" x14ac:dyDescent="0.25">
      <c r="B136" s="36" t="s">
        <v>2233</v>
      </c>
      <c r="C136" s="35" t="s">
        <v>131</v>
      </c>
      <c r="D136" s="36" t="s">
        <v>1197</v>
      </c>
      <c r="E136" s="37">
        <v>5.31E-6</v>
      </c>
      <c r="F136" s="38">
        <v>2.10884E-2</v>
      </c>
      <c r="G136" s="39">
        <v>68057.3</v>
      </c>
      <c r="H136" s="39">
        <v>21251554</v>
      </c>
      <c r="I136" s="40">
        <v>1007736681</v>
      </c>
      <c r="J136" s="40">
        <v>1007736681</v>
      </c>
      <c r="K136" s="46">
        <v>-1.25</v>
      </c>
      <c r="L136" s="46">
        <v>3.67</v>
      </c>
      <c r="M136" s="46">
        <v>9.6199999999999992</v>
      </c>
      <c r="N136" s="36">
        <v>132</v>
      </c>
      <c r="O136" s="41">
        <v>42998.867685185185</v>
      </c>
    </row>
    <row r="137" spans="2:15" x14ac:dyDescent="0.25">
      <c r="B137" s="36" t="s">
        <v>2218</v>
      </c>
      <c r="C137" s="35" t="s">
        <v>113</v>
      </c>
      <c r="D137" s="36" t="s">
        <v>1179</v>
      </c>
      <c r="E137" s="37">
        <v>2.31292E-3</v>
      </c>
      <c r="F137" s="38">
        <v>9.1856100000000005</v>
      </c>
      <c r="G137" s="39">
        <v>753525</v>
      </c>
      <c r="H137" s="39">
        <v>21107182</v>
      </c>
      <c r="I137" s="40">
        <v>2297853</v>
      </c>
      <c r="J137" s="40">
        <v>2703356</v>
      </c>
      <c r="K137" s="46">
        <v>0.03</v>
      </c>
      <c r="L137" s="46">
        <v>-1.36</v>
      </c>
      <c r="M137" s="46">
        <v>-25.38</v>
      </c>
      <c r="N137" s="36">
        <v>133</v>
      </c>
      <c r="O137" s="41">
        <v>42998.86791666667</v>
      </c>
    </row>
    <row r="138" spans="2:15" x14ac:dyDescent="0.25">
      <c r="B138" s="36" t="s">
        <v>2216</v>
      </c>
      <c r="C138" s="35" t="s">
        <v>115</v>
      </c>
      <c r="D138" s="36" t="s">
        <v>1181</v>
      </c>
      <c r="E138" s="37">
        <v>3.6036E-4</v>
      </c>
      <c r="F138" s="38">
        <v>1.4311400000000001</v>
      </c>
      <c r="G138" s="39">
        <v>59910.1</v>
      </c>
      <c r="H138" s="39">
        <v>21089851</v>
      </c>
      <c r="I138" s="40">
        <v>14736400</v>
      </c>
      <c r="J138" s="40">
        <v>14736400</v>
      </c>
      <c r="K138" s="46">
        <v>-0.66</v>
      </c>
      <c r="L138" s="46">
        <v>-2.09</v>
      </c>
      <c r="M138" s="46">
        <v>0.56000000000000005</v>
      </c>
      <c r="N138" s="36">
        <v>134</v>
      </c>
      <c r="O138" s="41">
        <v>42998.867407407408</v>
      </c>
    </row>
    <row r="139" spans="2:15" x14ac:dyDescent="0.25">
      <c r="B139" s="36" t="s">
        <v>2242</v>
      </c>
      <c r="C139" s="35" t="s">
        <v>146</v>
      </c>
      <c r="D139" s="36" t="s">
        <v>1213</v>
      </c>
      <c r="E139" s="37">
        <v>1.9753700000000002E-3</v>
      </c>
      <c r="F139" s="38">
        <v>7.8450300000000004</v>
      </c>
      <c r="G139" s="39">
        <v>1473040</v>
      </c>
      <c r="H139" s="39">
        <v>20594897</v>
      </c>
      <c r="I139" s="40">
        <v>2625216</v>
      </c>
      <c r="J139" s="40">
        <v>16365066</v>
      </c>
      <c r="K139" s="46">
        <v>0.02</v>
      </c>
      <c r="L139" s="46">
        <v>2.81</v>
      </c>
      <c r="M139" s="46">
        <v>21.44</v>
      </c>
      <c r="N139" s="36">
        <v>135</v>
      </c>
      <c r="O139" s="41">
        <v>42998.867488425924</v>
      </c>
    </row>
    <row r="140" spans="2:15" x14ac:dyDescent="0.25">
      <c r="B140" s="36" t="s">
        <v>2249</v>
      </c>
      <c r="C140" s="35" t="s">
        <v>151</v>
      </c>
      <c r="D140" s="36" t="s">
        <v>1218</v>
      </c>
      <c r="E140" s="37">
        <v>3.9029999999999997E-5</v>
      </c>
      <c r="F140" s="38">
        <v>0.15502299999999999</v>
      </c>
      <c r="G140" s="39">
        <v>318898</v>
      </c>
      <c r="H140" s="39">
        <v>20050166</v>
      </c>
      <c r="I140" s="40">
        <v>129336716</v>
      </c>
      <c r="J140" s="40">
        <v>129336716</v>
      </c>
      <c r="K140" s="46">
        <v>-1.98</v>
      </c>
      <c r="L140" s="46">
        <v>12.97</v>
      </c>
      <c r="M140" s="46">
        <v>9.27</v>
      </c>
      <c r="N140" s="36">
        <v>136</v>
      </c>
      <c r="O140" s="41">
        <v>42998.867662037039</v>
      </c>
    </row>
    <row r="141" spans="2:15" x14ac:dyDescent="0.25">
      <c r="B141" s="36" t="s">
        <v>2219</v>
      </c>
      <c r="C141" s="35" t="s">
        <v>128</v>
      </c>
      <c r="D141" s="36" t="s">
        <v>1193</v>
      </c>
      <c r="E141" s="37">
        <v>6.3590000000000001E-4</v>
      </c>
      <c r="F141" s="38">
        <v>2.5254500000000002</v>
      </c>
      <c r="G141" s="39">
        <v>374201</v>
      </c>
      <c r="H141" s="39">
        <v>19967209</v>
      </c>
      <c r="I141" s="40">
        <v>7906397</v>
      </c>
      <c r="J141" s="40">
        <v>16906397</v>
      </c>
      <c r="K141" s="46">
        <v>0.02</v>
      </c>
      <c r="L141" s="46">
        <v>3.05</v>
      </c>
      <c r="M141" s="46">
        <v>-22.74</v>
      </c>
      <c r="N141" s="36">
        <v>137</v>
      </c>
      <c r="O141" s="41">
        <v>42998.867627314816</v>
      </c>
    </row>
    <row r="142" spans="2:15" x14ac:dyDescent="0.25">
      <c r="B142" s="36" t="s">
        <v>2220</v>
      </c>
      <c r="C142" s="35" t="s">
        <v>126</v>
      </c>
      <c r="D142" s="36" t="s">
        <v>1191</v>
      </c>
      <c r="E142" s="37">
        <v>7.0179999999999996E-5</v>
      </c>
      <c r="F142" s="38">
        <v>0.27870299999999998</v>
      </c>
      <c r="G142" s="39">
        <v>2673190</v>
      </c>
      <c r="H142" s="39">
        <v>19097990</v>
      </c>
      <c r="I142" s="40">
        <v>68524524</v>
      </c>
      <c r="J142" s="40">
        <v>466424524</v>
      </c>
      <c r="K142" s="46">
        <v>3.52</v>
      </c>
      <c r="L142" s="46">
        <v>28.85</v>
      </c>
      <c r="M142" s="46">
        <v>16.59</v>
      </c>
      <c r="N142" s="36">
        <v>138</v>
      </c>
      <c r="O142" s="41">
        <v>42998.867731481485</v>
      </c>
    </row>
    <row r="143" spans="2:15" x14ac:dyDescent="0.25">
      <c r="B143" s="36" t="s">
        <v>2234</v>
      </c>
      <c r="C143" s="35" t="s">
        <v>136</v>
      </c>
      <c r="D143" s="36" t="s">
        <v>1202</v>
      </c>
      <c r="E143" s="37">
        <v>5.4553999999999996E-4</v>
      </c>
      <c r="F143" s="38">
        <v>2.1665800000000002</v>
      </c>
      <c r="G143" s="39">
        <v>187561</v>
      </c>
      <c r="H143" s="39">
        <v>19031478</v>
      </c>
      <c r="I143" s="40">
        <v>8784111</v>
      </c>
      <c r="J143" s="40">
        <v>8784111</v>
      </c>
      <c r="K143" s="46">
        <v>7.69</v>
      </c>
      <c r="L143" s="46">
        <v>1.68</v>
      </c>
      <c r="M143" s="46">
        <v>33.58</v>
      </c>
      <c r="N143" s="36">
        <v>139</v>
      </c>
      <c r="O143" s="41">
        <v>42998.86755787037</v>
      </c>
    </row>
    <row r="144" spans="2:15" x14ac:dyDescent="0.25">
      <c r="B144" s="36" t="s">
        <v>2255</v>
      </c>
      <c r="C144" s="35" t="s">
        <v>155</v>
      </c>
      <c r="D144" s="36" t="s">
        <v>1222</v>
      </c>
      <c r="E144" s="37">
        <v>2.40691E-2</v>
      </c>
      <c r="F144" s="38">
        <v>95.588700000000003</v>
      </c>
      <c r="G144" s="39">
        <v>31374.9</v>
      </c>
      <c r="H144" s="39">
        <v>18908981</v>
      </c>
      <c r="I144" s="40">
        <v>197816</v>
      </c>
      <c r="J144" s="40">
        <v>197816</v>
      </c>
      <c r="K144" s="46">
        <v>-0.08</v>
      </c>
      <c r="L144" s="46">
        <v>-2.2200000000000002</v>
      </c>
      <c r="M144" s="46">
        <v>13.9</v>
      </c>
      <c r="N144" s="36">
        <v>140</v>
      </c>
      <c r="O144" s="41">
        <v>42998.867430555554</v>
      </c>
    </row>
    <row r="145" spans="2:15" x14ac:dyDescent="0.25">
      <c r="B145" s="36" t="s">
        <v>2201</v>
      </c>
      <c r="C145" s="35" t="s">
        <v>99</v>
      </c>
      <c r="D145" s="36" t="s">
        <v>1165</v>
      </c>
      <c r="E145" s="37">
        <v>3.7769000000000001E-3</v>
      </c>
      <c r="F145" s="38">
        <v>14.999700000000001</v>
      </c>
      <c r="G145" s="39">
        <v>164826</v>
      </c>
      <c r="H145" s="39">
        <v>18753302</v>
      </c>
      <c r="I145" s="40">
        <v>1250245</v>
      </c>
      <c r="J145" s="40">
        <v>2250245</v>
      </c>
      <c r="K145" s="46">
        <v>0.55000000000000004</v>
      </c>
      <c r="L145" s="46">
        <v>-4.91</v>
      </c>
      <c r="M145" s="46">
        <v>-13.04</v>
      </c>
      <c r="N145" s="36">
        <v>141</v>
      </c>
      <c r="O145" s="41">
        <v>42998.867939814816</v>
      </c>
    </row>
    <row r="146" spans="2:15" x14ac:dyDescent="0.25">
      <c r="B146" s="36" t="s">
        <v>2282</v>
      </c>
      <c r="C146" s="35" t="s">
        <v>181</v>
      </c>
      <c r="D146" s="36" t="s">
        <v>1246</v>
      </c>
      <c r="E146" s="37">
        <v>1.93001E-3</v>
      </c>
      <c r="F146" s="38">
        <v>7.6649000000000003</v>
      </c>
      <c r="G146" s="39">
        <v>112051</v>
      </c>
      <c r="H146" s="39">
        <v>18640282</v>
      </c>
      <c r="I146" s="40">
        <v>2431901</v>
      </c>
      <c r="J146" s="40">
        <v>2431901</v>
      </c>
      <c r="K146" s="46">
        <v>3.79</v>
      </c>
      <c r="L146" s="46">
        <v>1.78</v>
      </c>
      <c r="M146" s="46">
        <v>20.74</v>
      </c>
      <c r="N146" s="36">
        <v>142</v>
      </c>
      <c r="O146" s="41">
        <v>42998.867418981485</v>
      </c>
    </row>
    <row r="147" spans="2:15" x14ac:dyDescent="0.25">
      <c r="B147" s="36" t="s">
        <v>2229</v>
      </c>
      <c r="C147" s="35" t="s">
        <v>127</v>
      </c>
      <c r="D147" s="36" t="s">
        <v>1192</v>
      </c>
      <c r="E147" s="37">
        <v>2.1799999999999999E-6</v>
      </c>
      <c r="F147" s="38">
        <v>8.6581899999999996E-3</v>
      </c>
      <c r="G147" s="39">
        <v>696960</v>
      </c>
      <c r="H147" s="39">
        <v>18593321</v>
      </c>
      <c r="I147" s="40">
        <v>2147483647</v>
      </c>
      <c r="J147" s="40">
        <v>2147483647</v>
      </c>
      <c r="K147" s="46">
        <v>0.66</v>
      </c>
      <c r="L147" s="46">
        <v>4.5999999999999996</v>
      </c>
      <c r="M147" s="46">
        <v>-5.92</v>
      </c>
      <c r="N147" s="36">
        <v>143</v>
      </c>
      <c r="O147" s="41">
        <v>42998.867662037039</v>
      </c>
    </row>
    <row r="148" spans="2:15" x14ac:dyDescent="0.25">
      <c r="B148" s="36" t="s">
        <v>2247</v>
      </c>
      <c r="C148" s="35" t="s">
        <v>165</v>
      </c>
      <c r="D148" s="36" t="s">
        <v>1232</v>
      </c>
      <c r="E148" s="37">
        <v>8.0000000000000005E-9</v>
      </c>
      <c r="F148" s="38">
        <v>3.2677800000000001E-5</v>
      </c>
      <c r="G148" s="39">
        <v>629.80499999999995</v>
      </c>
      <c r="H148" s="39">
        <v>18576411</v>
      </c>
      <c r="I148" s="40">
        <v>568471888436</v>
      </c>
      <c r="J148" s="40">
        <v>568471888436</v>
      </c>
      <c r="K148" s="46">
        <v>-1.99</v>
      </c>
      <c r="L148" s="46">
        <v>405.56</v>
      </c>
      <c r="M148" s="46">
        <v>53.73</v>
      </c>
      <c r="N148" s="36">
        <v>144</v>
      </c>
      <c r="O148" s="41">
        <v>42998.867604166669</v>
      </c>
    </row>
    <row r="149" spans="2:15" x14ac:dyDescent="0.25">
      <c r="B149" s="36" t="s">
        <v>2953</v>
      </c>
      <c r="C149" s="35" t="s">
        <v>858</v>
      </c>
      <c r="D149" s="36" t="s">
        <v>1896</v>
      </c>
      <c r="E149" s="37">
        <v>2.17E-6</v>
      </c>
      <c r="F149" s="38">
        <v>8.6303300000000003E-3</v>
      </c>
      <c r="G149" s="39">
        <v>89871.1</v>
      </c>
      <c r="H149" s="39">
        <v>18436827</v>
      </c>
      <c r="I149" s="40">
        <v>2136283004</v>
      </c>
      <c r="J149" s="40">
        <v>3141592653</v>
      </c>
      <c r="K149" s="46">
        <v>-4.3899999999999997</v>
      </c>
      <c r="L149" s="46">
        <v>-10.02</v>
      </c>
      <c r="M149" s="46">
        <v>-6.53</v>
      </c>
      <c r="N149" s="36">
        <v>145</v>
      </c>
      <c r="O149" s="41">
        <v>42998.864537037036</v>
      </c>
    </row>
    <row r="150" spans="2:15" x14ac:dyDescent="0.25">
      <c r="B150" s="36" t="s">
        <v>2208</v>
      </c>
      <c r="C150" s="35" t="s">
        <v>114</v>
      </c>
      <c r="D150" s="36" t="s">
        <v>1180</v>
      </c>
      <c r="E150" s="37">
        <v>2.3859E-4</v>
      </c>
      <c r="F150" s="38">
        <v>0.94754499999999997</v>
      </c>
      <c r="G150" s="39">
        <v>987815</v>
      </c>
      <c r="H150" s="39">
        <v>18409875</v>
      </c>
      <c r="I150" s="40">
        <v>19429024</v>
      </c>
      <c r="J150" s="40">
        <v>32433366</v>
      </c>
      <c r="K150" s="46">
        <v>-2.44</v>
      </c>
      <c r="L150" s="46">
        <v>-2.2000000000000002</v>
      </c>
      <c r="M150" s="46">
        <v>5.68</v>
      </c>
      <c r="N150" s="36">
        <v>146</v>
      </c>
      <c r="O150" s="41">
        <v>42998.867928240739</v>
      </c>
    </row>
    <row r="151" spans="2:15" x14ac:dyDescent="0.25">
      <c r="B151" s="36" t="s">
        <v>2241</v>
      </c>
      <c r="C151" s="35" t="s">
        <v>139</v>
      </c>
      <c r="D151" s="36" t="s">
        <v>1205</v>
      </c>
      <c r="E151" s="37">
        <v>7.7019999999999996E-4</v>
      </c>
      <c r="F151" s="38">
        <v>3.0588000000000002</v>
      </c>
      <c r="G151" s="39">
        <v>20503.900000000001</v>
      </c>
      <c r="H151" s="39">
        <v>17969012</v>
      </c>
      <c r="I151" s="40">
        <v>5874530</v>
      </c>
      <c r="J151" s="40">
        <v>100000000</v>
      </c>
      <c r="K151" s="46">
        <v>-0.06</v>
      </c>
      <c r="L151" s="46">
        <v>-1.02</v>
      </c>
      <c r="M151" s="46">
        <v>12.62</v>
      </c>
      <c r="N151" s="36">
        <v>147</v>
      </c>
      <c r="O151" s="41">
        <v>42998.867881944447</v>
      </c>
    </row>
    <row r="152" spans="2:15" x14ac:dyDescent="0.25">
      <c r="B152" s="36" t="s">
        <v>2226</v>
      </c>
      <c r="C152" s="35" t="s">
        <v>124</v>
      </c>
      <c r="D152" s="36" t="s">
        <v>1189</v>
      </c>
      <c r="E152" s="37">
        <v>2.7379999999999999E-5</v>
      </c>
      <c r="F152" s="38">
        <v>0.108747</v>
      </c>
      <c r="G152" s="39">
        <v>295583</v>
      </c>
      <c r="H152" s="39">
        <v>17710415</v>
      </c>
      <c r="I152" s="40">
        <v>162858880</v>
      </c>
      <c r="J152" s="40">
        <v>184190880</v>
      </c>
      <c r="K152" s="46">
        <v>-4.6100000000000003</v>
      </c>
      <c r="L152" s="46">
        <v>-0.63</v>
      </c>
      <c r="M152" s="46">
        <v>3.23</v>
      </c>
      <c r="N152" s="36">
        <v>148</v>
      </c>
      <c r="O152" s="41">
        <v>42998.867905092593</v>
      </c>
    </row>
    <row r="153" spans="2:15" x14ac:dyDescent="0.25">
      <c r="B153" s="36" t="s">
        <v>2254</v>
      </c>
      <c r="C153" s="35" t="s">
        <v>166</v>
      </c>
      <c r="D153" s="36" t="s">
        <v>1233</v>
      </c>
      <c r="E153" s="37">
        <v>2.39E-6</v>
      </c>
      <c r="F153" s="38">
        <v>9.4921399999999996E-3</v>
      </c>
      <c r="G153" s="39">
        <v>253211</v>
      </c>
      <c r="H153" s="39">
        <v>17089078</v>
      </c>
      <c r="I153" s="40">
        <v>1800339818</v>
      </c>
      <c r="J153" s="40">
        <v>1800339818</v>
      </c>
      <c r="K153" s="46">
        <v>0.25</v>
      </c>
      <c r="L153" s="46">
        <v>1.85</v>
      </c>
      <c r="M153" s="46">
        <v>-10.220000000000001</v>
      </c>
      <c r="N153" s="36">
        <v>149</v>
      </c>
      <c r="O153" s="41">
        <v>42998.867592592593</v>
      </c>
    </row>
    <row r="154" spans="2:15" x14ac:dyDescent="0.25">
      <c r="B154" s="36" t="s">
        <v>2232</v>
      </c>
      <c r="C154" s="35" t="s">
        <v>129</v>
      </c>
      <c r="D154" s="36" t="s">
        <v>1195</v>
      </c>
      <c r="E154" s="37">
        <v>1.948E-5</v>
      </c>
      <c r="F154" s="38">
        <v>7.7380299999999999E-2</v>
      </c>
      <c r="G154" s="39">
        <v>121302</v>
      </c>
      <c r="H154" s="39">
        <v>16868042</v>
      </c>
      <c r="I154" s="40">
        <v>217988844</v>
      </c>
      <c r="J154" s="40">
        <v>217988844</v>
      </c>
      <c r="K154" s="46">
        <v>1.65</v>
      </c>
      <c r="L154" s="46">
        <v>1.63</v>
      </c>
      <c r="M154" s="46">
        <v>-8.5</v>
      </c>
      <c r="N154" s="36">
        <v>150</v>
      </c>
      <c r="O154" s="41">
        <v>42998.867442129631</v>
      </c>
    </row>
    <row r="155" spans="2:15" x14ac:dyDescent="0.25">
      <c r="B155" s="36" t="s">
        <v>2205</v>
      </c>
      <c r="C155" s="35" t="s">
        <v>100</v>
      </c>
      <c r="D155" s="36" t="s">
        <v>1166</v>
      </c>
      <c r="E155" s="37">
        <v>1.4191E-4</v>
      </c>
      <c r="F155" s="38">
        <v>0.56318999999999997</v>
      </c>
      <c r="G155" s="39">
        <v>630050</v>
      </c>
      <c r="H155" s="39">
        <v>16670424</v>
      </c>
      <c r="I155" s="40">
        <v>29600000</v>
      </c>
      <c r="J155" s="40">
        <v>59200000</v>
      </c>
      <c r="K155" s="46">
        <v>-1.24</v>
      </c>
      <c r="L155" s="46">
        <v>-10.86</v>
      </c>
      <c r="M155" s="46">
        <v>-29.32</v>
      </c>
      <c r="N155" s="36">
        <v>151</v>
      </c>
      <c r="O155" s="41">
        <v>42998.864502314813</v>
      </c>
    </row>
    <row r="156" spans="2:15" x14ac:dyDescent="0.25">
      <c r="B156" s="36" t="s">
        <v>2231</v>
      </c>
      <c r="C156" s="35" t="s">
        <v>0</v>
      </c>
      <c r="D156" s="36" t="s">
        <v>1194</v>
      </c>
      <c r="E156" s="37">
        <v>3.7324E-4</v>
      </c>
      <c r="F156" s="38">
        <v>1.48231</v>
      </c>
      <c r="G156" s="39">
        <v>350897</v>
      </c>
      <c r="H156" s="39">
        <v>16613563</v>
      </c>
      <c r="I156" s="40">
        <v>11207887</v>
      </c>
      <c r="J156" s="40">
        <v>11207887</v>
      </c>
      <c r="K156" s="46">
        <v>3.96</v>
      </c>
      <c r="L156" s="46">
        <v>16.75</v>
      </c>
      <c r="M156" s="46">
        <v>7.66</v>
      </c>
      <c r="N156" s="36">
        <v>152</v>
      </c>
      <c r="O156" s="41">
        <v>42998.867627314816</v>
      </c>
    </row>
    <row r="157" spans="2:15" x14ac:dyDescent="0.25">
      <c r="B157" s="36" t="s">
        <v>2188</v>
      </c>
      <c r="C157" s="35" t="s">
        <v>86</v>
      </c>
      <c r="D157" s="36" t="s">
        <v>1151</v>
      </c>
      <c r="E157" s="37">
        <v>7.5100000000000001E-6</v>
      </c>
      <c r="F157" s="38">
        <v>2.9796E-2</v>
      </c>
      <c r="G157" s="39">
        <v>471921</v>
      </c>
      <c r="H157" s="39">
        <v>16481059</v>
      </c>
      <c r="I157" s="40">
        <v>553129914</v>
      </c>
      <c r="J157" s="40">
        <v>1000000000</v>
      </c>
      <c r="K157" s="46">
        <v>0.21</v>
      </c>
      <c r="L157" s="46">
        <v>-4.99</v>
      </c>
      <c r="M157" s="46">
        <v>-21.61</v>
      </c>
      <c r="N157" s="36">
        <v>153</v>
      </c>
      <c r="O157" s="41">
        <v>42998.864502314813</v>
      </c>
    </row>
    <row r="158" spans="2:15" x14ac:dyDescent="0.25">
      <c r="B158" s="36" t="s">
        <v>2250</v>
      </c>
      <c r="C158" s="35" t="s">
        <v>140</v>
      </c>
      <c r="D158" s="36" t="s">
        <v>1207</v>
      </c>
      <c r="E158" s="37">
        <v>5.9999999999999997E-7</v>
      </c>
      <c r="F158" s="38">
        <v>2.3717500000000002E-3</v>
      </c>
      <c r="G158" s="39">
        <v>2691870</v>
      </c>
      <c r="H158" s="39">
        <v>16331149</v>
      </c>
      <c r="I158" s="40">
        <v>6885695758</v>
      </c>
      <c r="J158" s="40">
        <v>6885695758</v>
      </c>
      <c r="K158" s="46">
        <v>3.38</v>
      </c>
      <c r="L158" s="46">
        <v>11.77</v>
      </c>
      <c r="M158" s="46">
        <v>6.86</v>
      </c>
      <c r="N158" s="36">
        <v>154</v>
      </c>
      <c r="O158" s="41">
        <v>42998.867534722223</v>
      </c>
    </row>
    <row r="159" spans="2:15" x14ac:dyDescent="0.25">
      <c r="B159" s="36" t="s">
        <v>2265</v>
      </c>
      <c r="C159" s="35" t="s">
        <v>164</v>
      </c>
      <c r="D159" s="36" t="s">
        <v>1231</v>
      </c>
      <c r="E159" s="37">
        <v>1.0519999999999999E-5</v>
      </c>
      <c r="F159" s="38">
        <v>4.1795899999999997E-2</v>
      </c>
      <c r="G159" s="39">
        <v>864577</v>
      </c>
      <c r="H159" s="39">
        <v>16313473</v>
      </c>
      <c r="I159" s="40">
        <v>390312753</v>
      </c>
      <c r="J159" s="40">
        <v>390312753</v>
      </c>
      <c r="K159" s="46">
        <v>2.91</v>
      </c>
      <c r="L159" s="46">
        <v>31.61</v>
      </c>
      <c r="M159" s="46">
        <v>28.89</v>
      </c>
      <c r="N159" s="36">
        <v>155</v>
      </c>
      <c r="O159" s="41">
        <v>42998.867569444446</v>
      </c>
    </row>
    <row r="160" spans="2:15" x14ac:dyDescent="0.25">
      <c r="B160" s="36" t="s">
        <v>2258</v>
      </c>
      <c r="C160" s="35" t="s">
        <v>157</v>
      </c>
      <c r="D160" s="36" t="s">
        <v>1224</v>
      </c>
      <c r="E160" s="37">
        <v>2.6478E-4</v>
      </c>
      <c r="F160" s="38">
        <v>1.05155</v>
      </c>
      <c r="G160" s="39">
        <v>167281</v>
      </c>
      <c r="H160" s="39">
        <v>16268174</v>
      </c>
      <c r="I160" s="40">
        <v>15470661</v>
      </c>
      <c r="J160" s="40">
        <v>15470661</v>
      </c>
      <c r="K160" s="46">
        <v>-1.55</v>
      </c>
      <c r="L160" s="46">
        <v>1.38</v>
      </c>
      <c r="M160" s="46">
        <v>5.31</v>
      </c>
      <c r="N160" s="36">
        <v>156</v>
      </c>
      <c r="O160" s="41">
        <v>42998.867627314816</v>
      </c>
    </row>
    <row r="161" spans="2:15" x14ac:dyDescent="0.25">
      <c r="B161" s="36" t="s">
        <v>2245</v>
      </c>
      <c r="C161" s="35" t="s">
        <v>144</v>
      </c>
      <c r="D161" s="36" t="s">
        <v>1211</v>
      </c>
      <c r="E161" s="37">
        <v>1.2055799999999999E-3</v>
      </c>
      <c r="F161" s="38">
        <v>4.78789</v>
      </c>
      <c r="G161" s="39">
        <v>97916.7</v>
      </c>
      <c r="H161" s="39">
        <v>16038316</v>
      </c>
      <c r="I161" s="40">
        <v>3349767</v>
      </c>
      <c r="J161" s="40">
        <v>3349767</v>
      </c>
      <c r="K161" s="46">
        <v>0.81</v>
      </c>
      <c r="L161" s="46">
        <v>3.56</v>
      </c>
      <c r="M161" s="46">
        <v>-6.06</v>
      </c>
      <c r="N161" s="36">
        <v>157</v>
      </c>
      <c r="O161" s="41">
        <v>42998.867650462962</v>
      </c>
    </row>
    <row r="162" spans="2:15" x14ac:dyDescent="0.25">
      <c r="B162" s="36" t="s">
        <v>3270</v>
      </c>
      <c r="C162" s="35" t="s">
        <v>3271</v>
      </c>
      <c r="D162" s="36" t="s">
        <v>3272</v>
      </c>
      <c r="E162" s="37">
        <v>7.2400000000000001E-6</v>
      </c>
      <c r="F162" s="38">
        <v>2.8746600000000001E-2</v>
      </c>
      <c r="G162" s="39">
        <v>10995.9</v>
      </c>
      <c r="H162" s="39">
        <v>15807517</v>
      </c>
      <c r="I162" s="40">
        <v>549891703</v>
      </c>
      <c r="J162" s="40">
        <v>1374729257</v>
      </c>
      <c r="K162" s="46">
        <v>-0.3</v>
      </c>
      <c r="L162" s="46">
        <v>-1.39</v>
      </c>
      <c r="M162" s="46">
        <v>-27.59</v>
      </c>
      <c r="N162" s="36">
        <v>158</v>
      </c>
      <c r="O162" s="41">
        <v>42998.864548611113</v>
      </c>
    </row>
    <row r="163" spans="2:15" x14ac:dyDescent="0.25">
      <c r="B163" s="36" t="s">
        <v>2243</v>
      </c>
      <c r="C163" s="35" t="s">
        <v>147</v>
      </c>
      <c r="D163" s="36" t="s">
        <v>1214</v>
      </c>
      <c r="E163" s="37">
        <v>5.109E-5</v>
      </c>
      <c r="F163" s="38">
        <v>0.20289099999999999</v>
      </c>
      <c r="G163" s="39">
        <v>7693290</v>
      </c>
      <c r="H163" s="39">
        <v>15497337</v>
      </c>
      <c r="I163" s="40">
        <v>76382576</v>
      </c>
      <c r="J163" s="40">
        <v>76382576</v>
      </c>
      <c r="K163" s="46">
        <v>-0.06</v>
      </c>
      <c r="L163" s="46">
        <v>-11.63</v>
      </c>
      <c r="M163" s="46">
        <v>21.72</v>
      </c>
      <c r="N163" s="36">
        <v>159</v>
      </c>
      <c r="O163" s="41">
        <v>42998.867465277777</v>
      </c>
    </row>
    <row r="164" spans="2:15" x14ac:dyDescent="0.25">
      <c r="B164" s="36" t="s">
        <v>2264</v>
      </c>
      <c r="C164" s="35" t="s">
        <v>159</v>
      </c>
      <c r="D164" s="36" t="s">
        <v>1226</v>
      </c>
      <c r="E164" s="37">
        <v>4.8239999999999999E-5</v>
      </c>
      <c r="F164" s="38">
        <v>0.19159300000000001</v>
      </c>
      <c r="G164" s="39">
        <v>51318.6</v>
      </c>
      <c r="H164" s="39">
        <v>15427798</v>
      </c>
      <c r="I164" s="40">
        <v>80523807</v>
      </c>
      <c r="J164" s="40">
        <v>245431854</v>
      </c>
      <c r="K164" s="46">
        <v>-0.9</v>
      </c>
      <c r="L164" s="46">
        <v>0.11</v>
      </c>
      <c r="M164" s="46">
        <v>-0.71</v>
      </c>
      <c r="N164" s="36">
        <v>160</v>
      </c>
      <c r="O164" s="41">
        <v>42998.867928240739</v>
      </c>
    </row>
    <row r="165" spans="2:15" x14ac:dyDescent="0.25">
      <c r="B165" s="36" t="s">
        <v>2228</v>
      </c>
      <c r="C165" s="35" t="s">
        <v>133</v>
      </c>
      <c r="D165" s="36" t="s">
        <v>1199</v>
      </c>
      <c r="E165" s="37">
        <v>1.78375E-3</v>
      </c>
      <c r="F165" s="38">
        <v>7.0840300000000003</v>
      </c>
      <c r="G165" s="39">
        <v>163124</v>
      </c>
      <c r="H165" s="39">
        <v>15399442</v>
      </c>
      <c r="I165" s="40">
        <v>2173825</v>
      </c>
      <c r="J165" s="40">
        <v>2173825</v>
      </c>
      <c r="K165" s="46">
        <v>-0.08</v>
      </c>
      <c r="L165" s="46">
        <v>3.86</v>
      </c>
      <c r="M165" s="46">
        <v>3.03</v>
      </c>
      <c r="N165" s="36">
        <v>161</v>
      </c>
      <c r="O165" s="41">
        <v>42998.867928240739</v>
      </c>
    </row>
    <row r="166" spans="2:15" x14ac:dyDescent="0.25">
      <c r="B166" s="36" t="s">
        <v>2296</v>
      </c>
      <c r="C166" s="35" t="s">
        <v>198</v>
      </c>
      <c r="D166" s="36" t="s">
        <v>1264</v>
      </c>
      <c r="E166" s="37">
        <v>3.2366600000000001E-3</v>
      </c>
      <c r="F166" s="38">
        <v>12.854200000000001</v>
      </c>
      <c r="G166" s="39">
        <v>133837</v>
      </c>
      <c r="H166" s="39">
        <v>15339501</v>
      </c>
      <c r="I166" s="40">
        <v>1193345</v>
      </c>
      <c r="J166" s="40">
        <v>1193345</v>
      </c>
      <c r="K166" s="46">
        <v>1.47</v>
      </c>
      <c r="L166" s="46">
        <v>17.8</v>
      </c>
      <c r="M166" s="46">
        <v>50.86</v>
      </c>
      <c r="N166" s="36">
        <v>162</v>
      </c>
      <c r="O166" s="41">
        <v>42998.867581018516</v>
      </c>
    </row>
    <row r="167" spans="2:15" x14ac:dyDescent="0.25">
      <c r="B167" s="36" t="s">
        <v>2278</v>
      </c>
      <c r="C167" s="35" t="s">
        <v>176</v>
      </c>
      <c r="D167" s="36" t="s">
        <v>1242</v>
      </c>
      <c r="E167" s="37">
        <v>1.5411E-4</v>
      </c>
      <c r="F167" s="38">
        <v>0.61204599999999998</v>
      </c>
      <c r="G167" s="39">
        <v>15240.9</v>
      </c>
      <c r="H167" s="39">
        <v>15169635</v>
      </c>
      <c r="I167" s="40">
        <v>24785122</v>
      </c>
      <c r="J167" s="40">
        <v>24785122</v>
      </c>
      <c r="K167" s="46">
        <v>-0.77</v>
      </c>
      <c r="L167" s="46">
        <v>-0.54</v>
      </c>
      <c r="M167" s="46">
        <v>7.3</v>
      </c>
      <c r="N167" s="36">
        <v>163</v>
      </c>
      <c r="O167" s="41">
        <v>42998.867465277777</v>
      </c>
    </row>
    <row r="168" spans="2:15" x14ac:dyDescent="0.25">
      <c r="B168" s="36" t="s">
        <v>2263</v>
      </c>
      <c r="C168" s="35" t="s">
        <v>161</v>
      </c>
      <c r="D168" s="36" t="s">
        <v>1228</v>
      </c>
      <c r="E168" s="37">
        <v>8.9569999999999998E-5</v>
      </c>
      <c r="F168" s="38">
        <v>0.35572100000000001</v>
      </c>
      <c r="G168" s="39">
        <v>105699</v>
      </c>
      <c r="H168" s="39">
        <v>14940282</v>
      </c>
      <c r="I168" s="40">
        <v>42000000</v>
      </c>
      <c r="J168" s="40">
        <v>42000000</v>
      </c>
      <c r="K168" s="46">
        <v>3.46</v>
      </c>
      <c r="L168" s="46">
        <v>-3.65</v>
      </c>
      <c r="M168" s="46">
        <v>15.82</v>
      </c>
      <c r="N168" s="36">
        <v>164</v>
      </c>
      <c r="O168" s="41">
        <v>42998.867627314816</v>
      </c>
    </row>
    <row r="169" spans="2:15" x14ac:dyDescent="0.25">
      <c r="B169" s="36" t="s">
        <v>2266</v>
      </c>
      <c r="C169" s="35" t="s">
        <v>156</v>
      </c>
      <c r="D169" s="36" t="s">
        <v>1223</v>
      </c>
      <c r="E169" s="37">
        <v>3.078E-5</v>
      </c>
      <c r="F169" s="38">
        <v>0.122241</v>
      </c>
      <c r="G169" s="39">
        <v>59481.4</v>
      </c>
      <c r="H169" s="39">
        <v>14820202</v>
      </c>
      <c r="I169" s="40">
        <v>121237575</v>
      </c>
      <c r="J169" s="40">
        <v>121237575</v>
      </c>
      <c r="K169" s="46">
        <v>1.31</v>
      </c>
      <c r="L169" s="46">
        <v>11.34</v>
      </c>
      <c r="M169" s="46">
        <v>15.06</v>
      </c>
      <c r="N169" s="36">
        <v>165</v>
      </c>
      <c r="O169" s="41">
        <v>42998.867476851854</v>
      </c>
    </row>
    <row r="170" spans="2:15" x14ac:dyDescent="0.25">
      <c r="B170" s="36" t="s">
        <v>2293</v>
      </c>
      <c r="C170" s="35" t="s">
        <v>182</v>
      </c>
      <c r="D170" s="36" t="s">
        <v>1247</v>
      </c>
      <c r="E170" s="37">
        <v>5.3980000000000002E-5</v>
      </c>
      <c r="F170" s="38">
        <v>0.21437</v>
      </c>
      <c r="G170" s="39">
        <v>4353680</v>
      </c>
      <c r="H170" s="39">
        <v>14668287</v>
      </c>
      <c r="I170" s="40">
        <v>68425094</v>
      </c>
      <c r="J170" s="40">
        <v>68425094</v>
      </c>
      <c r="K170" s="46">
        <v>6.28</v>
      </c>
      <c r="L170" s="46">
        <v>-9.44</v>
      </c>
      <c r="M170" s="46">
        <v>29.18</v>
      </c>
      <c r="N170" s="36">
        <v>166</v>
      </c>
      <c r="O170" s="41">
        <v>42998.867488425924</v>
      </c>
    </row>
    <row r="171" spans="2:15" x14ac:dyDescent="0.25">
      <c r="B171" s="36" t="s">
        <v>2256</v>
      </c>
      <c r="C171" s="35" t="s">
        <v>153</v>
      </c>
      <c r="D171" s="36" t="s">
        <v>1220</v>
      </c>
      <c r="E171" s="37">
        <v>6.5446000000000002E-3</v>
      </c>
      <c r="F171" s="38">
        <v>25.991399999999999</v>
      </c>
      <c r="G171" s="39">
        <v>97181.2</v>
      </c>
      <c r="H171" s="39">
        <v>14549288</v>
      </c>
      <c r="I171" s="40">
        <v>559773</v>
      </c>
      <c r="J171" s="40">
        <v>616089</v>
      </c>
      <c r="K171" s="46">
        <v>0.16</v>
      </c>
      <c r="L171" s="46">
        <v>1.27</v>
      </c>
      <c r="M171" s="46">
        <v>-6.91</v>
      </c>
      <c r="N171" s="36">
        <v>167</v>
      </c>
      <c r="O171" s="41">
        <v>42998.867442129631</v>
      </c>
    </row>
    <row r="172" spans="2:15" x14ac:dyDescent="0.25">
      <c r="B172" s="36" t="s">
        <v>2261</v>
      </c>
      <c r="C172" s="35" t="s">
        <v>160</v>
      </c>
      <c r="D172" s="36" t="s">
        <v>1227</v>
      </c>
      <c r="E172" s="37">
        <v>4.4320000000000003E-5</v>
      </c>
      <c r="F172" s="38">
        <v>0.17601600000000001</v>
      </c>
      <c r="G172" s="39">
        <v>2439710</v>
      </c>
      <c r="H172" s="39">
        <v>14478429</v>
      </c>
      <c r="I172" s="40">
        <v>82256324</v>
      </c>
      <c r="J172" s="40">
        <v>949291063</v>
      </c>
      <c r="K172" s="46">
        <v>7.0000000000000007E-2</v>
      </c>
      <c r="L172" s="46">
        <v>-0.35</v>
      </c>
      <c r="M172" s="46">
        <v>18.57</v>
      </c>
      <c r="N172" s="36">
        <v>168</v>
      </c>
      <c r="O172" s="41">
        <v>42998.867638888885</v>
      </c>
    </row>
    <row r="173" spans="2:15" x14ac:dyDescent="0.25">
      <c r="B173" s="36" t="s">
        <v>2248</v>
      </c>
      <c r="C173" s="35" t="s">
        <v>149</v>
      </c>
      <c r="D173" s="36" t="s">
        <v>1216</v>
      </c>
      <c r="E173" s="37">
        <v>2.9269999999999999E-5</v>
      </c>
      <c r="F173" s="38">
        <v>0.11623699999999999</v>
      </c>
      <c r="G173" s="39">
        <v>25372.3</v>
      </c>
      <c r="H173" s="39">
        <v>14473702</v>
      </c>
      <c r="I173" s="40">
        <v>124518891</v>
      </c>
      <c r="J173" s="40">
        <v>124518891</v>
      </c>
      <c r="K173" s="46">
        <v>0.28000000000000003</v>
      </c>
      <c r="L173" s="46">
        <v>4.75</v>
      </c>
      <c r="M173" s="46">
        <v>17.25</v>
      </c>
      <c r="N173" s="36">
        <v>169</v>
      </c>
      <c r="O173" s="41">
        <v>42998.867847222224</v>
      </c>
    </row>
    <row r="174" spans="2:15" x14ac:dyDescent="0.25">
      <c r="B174" s="36" t="s">
        <v>3295</v>
      </c>
      <c r="C174" s="35" t="s">
        <v>3296</v>
      </c>
      <c r="D174" s="36" t="s">
        <v>3297</v>
      </c>
      <c r="E174" s="37">
        <v>3.6200000000000001E-6</v>
      </c>
      <c r="F174" s="38">
        <v>1.4379100000000001E-2</v>
      </c>
      <c r="G174" s="39">
        <v>45845.5</v>
      </c>
      <c r="H174" s="39">
        <v>14379100</v>
      </c>
      <c r="I174" s="40">
        <v>1000000000</v>
      </c>
      <c r="J174" s="40">
        <v>10000000000</v>
      </c>
      <c r="K174" s="46">
        <v>-0.3</v>
      </c>
      <c r="L174" s="46">
        <v>2.4300000000000002</v>
      </c>
      <c r="M174" s="46"/>
      <c r="N174" s="36">
        <v>170</v>
      </c>
      <c r="O174" s="41">
        <v>42998.864560185182</v>
      </c>
    </row>
    <row r="175" spans="2:15" x14ac:dyDescent="0.25">
      <c r="B175" s="36" t="s">
        <v>2262</v>
      </c>
      <c r="C175" s="35" t="s">
        <v>158</v>
      </c>
      <c r="D175" s="36" t="s">
        <v>1225</v>
      </c>
      <c r="E175" s="37">
        <v>3.6013600000000001E-3</v>
      </c>
      <c r="F175" s="38">
        <v>14.3025</v>
      </c>
      <c r="G175" s="39">
        <v>12579.9</v>
      </c>
      <c r="H175" s="39">
        <v>14362373</v>
      </c>
      <c r="I175" s="40">
        <v>1004186</v>
      </c>
      <c r="J175" s="40">
        <v>1004186</v>
      </c>
      <c r="K175" s="46">
        <v>-0.04</v>
      </c>
      <c r="L175" s="46">
        <v>5.13</v>
      </c>
      <c r="M175" s="46">
        <v>4.07</v>
      </c>
      <c r="N175" s="36">
        <v>171</v>
      </c>
      <c r="O175" s="41">
        <v>42998.867789351854</v>
      </c>
    </row>
    <row r="176" spans="2:15" x14ac:dyDescent="0.25">
      <c r="B176" s="36" t="s">
        <v>2236</v>
      </c>
      <c r="C176" s="35" t="s">
        <v>145</v>
      </c>
      <c r="D176" s="36" t="s">
        <v>1212</v>
      </c>
      <c r="E176" s="37">
        <v>9.5220999999999999E-4</v>
      </c>
      <c r="F176" s="38">
        <v>3.7816399999999999</v>
      </c>
      <c r="G176" s="39">
        <v>2624.28</v>
      </c>
      <c r="H176" s="39">
        <v>14277263</v>
      </c>
      <c r="I176" s="40">
        <v>3775416</v>
      </c>
      <c r="J176" s="40">
        <v>5480513</v>
      </c>
      <c r="K176" s="46">
        <v>-0.05</v>
      </c>
      <c r="L176" s="46">
        <v>-2.93</v>
      </c>
      <c r="M176" s="46">
        <v>-11.23</v>
      </c>
      <c r="N176" s="36">
        <v>172</v>
      </c>
      <c r="O176" s="41">
        <v>42998.867928240739</v>
      </c>
    </row>
    <row r="177" spans="2:15" x14ac:dyDescent="0.25">
      <c r="B177" s="36" t="s">
        <v>2246</v>
      </c>
      <c r="C177" s="35" t="s">
        <v>142</v>
      </c>
      <c r="D177" s="36" t="s">
        <v>1209</v>
      </c>
      <c r="E177" s="37">
        <v>4.6799999999999999E-5</v>
      </c>
      <c r="F177" s="38">
        <v>0.18586900000000001</v>
      </c>
      <c r="G177" s="39">
        <v>244970</v>
      </c>
      <c r="H177" s="39">
        <v>13940175</v>
      </c>
      <c r="I177" s="40">
        <v>75000000</v>
      </c>
      <c r="J177" s="40">
        <v>98855150</v>
      </c>
      <c r="K177" s="46">
        <v>0.06</v>
      </c>
      <c r="L177" s="46">
        <v>7.56</v>
      </c>
      <c r="M177" s="46">
        <v>9.1300000000000008</v>
      </c>
      <c r="N177" s="36">
        <v>173</v>
      </c>
      <c r="O177" s="41">
        <v>42998.867893518516</v>
      </c>
    </row>
    <row r="178" spans="2:15" x14ac:dyDescent="0.25">
      <c r="B178" s="36" t="s">
        <v>2963</v>
      </c>
      <c r="C178" s="35" t="s">
        <v>854</v>
      </c>
      <c r="D178" s="36" t="s">
        <v>1892</v>
      </c>
      <c r="E178" s="37">
        <v>1.8090000000000001E-5</v>
      </c>
      <c r="F178" s="38">
        <v>7.1779800000000005E-2</v>
      </c>
      <c r="G178" s="39">
        <v>104973</v>
      </c>
      <c r="H178" s="39">
        <v>13737308</v>
      </c>
      <c r="I178" s="40">
        <v>191381257</v>
      </c>
      <c r="J178" s="40">
        <v>191381257</v>
      </c>
      <c r="K178" s="46">
        <v>-0.31</v>
      </c>
      <c r="L178" s="46">
        <v>-1.84</v>
      </c>
      <c r="M178" s="46">
        <v>-6.87</v>
      </c>
      <c r="N178" s="36">
        <v>174</v>
      </c>
      <c r="O178" s="41">
        <v>42998.86451388889</v>
      </c>
    </row>
    <row r="179" spans="2:15" x14ac:dyDescent="0.25">
      <c r="B179" s="36" t="s">
        <v>2277</v>
      </c>
      <c r="C179" s="35" t="s">
        <v>175</v>
      </c>
      <c r="D179" s="36" t="s">
        <v>1241</v>
      </c>
      <c r="E179" s="37">
        <v>4.3299000000000001E-4</v>
      </c>
      <c r="F179" s="38">
        <v>1.71959</v>
      </c>
      <c r="G179" s="39">
        <v>47728.4</v>
      </c>
      <c r="H179" s="39">
        <v>13146857</v>
      </c>
      <c r="I179" s="40">
        <v>7645344</v>
      </c>
      <c r="J179" s="40">
        <v>7645344</v>
      </c>
      <c r="K179" s="46">
        <v>1.45</v>
      </c>
      <c r="L179" s="46">
        <v>6.56</v>
      </c>
      <c r="M179" s="46">
        <v>-1.62</v>
      </c>
      <c r="N179" s="36">
        <v>175</v>
      </c>
      <c r="O179" s="41">
        <v>42998.86787037037</v>
      </c>
    </row>
    <row r="180" spans="2:15" x14ac:dyDescent="0.25">
      <c r="B180" s="36" t="s">
        <v>2253</v>
      </c>
      <c r="C180" s="35" t="s">
        <v>150</v>
      </c>
      <c r="D180" s="36" t="s">
        <v>1217</v>
      </c>
      <c r="E180" s="37">
        <v>4.5839299999999999E-3</v>
      </c>
      <c r="F180" s="38">
        <v>18.204699999999999</v>
      </c>
      <c r="G180" s="39">
        <v>595337</v>
      </c>
      <c r="H180" s="39">
        <v>12927391</v>
      </c>
      <c r="I180" s="40">
        <v>710113</v>
      </c>
      <c r="J180" s="40">
        <v>710113</v>
      </c>
      <c r="K180" s="46">
        <v>0.35</v>
      </c>
      <c r="L180" s="46">
        <v>-4.42</v>
      </c>
      <c r="M180" s="46">
        <v>-4.13</v>
      </c>
      <c r="N180" s="36">
        <v>176</v>
      </c>
      <c r="O180" s="41">
        <v>42998.867858796293</v>
      </c>
    </row>
    <row r="181" spans="2:15" x14ac:dyDescent="0.25">
      <c r="B181" s="36" t="s">
        <v>2275</v>
      </c>
      <c r="C181" s="35" t="s">
        <v>179</v>
      </c>
      <c r="D181" s="36" t="s">
        <v>1244</v>
      </c>
      <c r="E181" s="37">
        <v>8.0079000000000001E-4</v>
      </c>
      <c r="F181" s="38">
        <v>3.1802700000000002</v>
      </c>
      <c r="G181" s="39">
        <v>40013.699999999997</v>
      </c>
      <c r="H181" s="39">
        <v>12676408</v>
      </c>
      <c r="I181" s="40">
        <v>3985953</v>
      </c>
      <c r="J181" s="40">
        <v>212274845</v>
      </c>
      <c r="K181" s="46">
        <v>-0.14000000000000001</v>
      </c>
      <c r="L181" s="46">
        <v>13.53</v>
      </c>
      <c r="M181" s="46">
        <v>7.73</v>
      </c>
      <c r="N181" s="36">
        <v>177</v>
      </c>
      <c r="O181" s="41">
        <v>42998.867893518516</v>
      </c>
    </row>
    <row r="182" spans="2:15" x14ac:dyDescent="0.25">
      <c r="B182" s="36" t="s">
        <v>2303</v>
      </c>
      <c r="C182" s="35" t="s">
        <v>203</v>
      </c>
      <c r="D182" s="36" t="s">
        <v>1268</v>
      </c>
      <c r="E182" s="37">
        <v>1.4769999999999999E-5</v>
      </c>
      <c r="F182" s="38">
        <v>5.8667400000000001E-2</v>
      </c>
      <c r="G182" s="39">
        <v>2178370</v>
      </c>
      <c r="H182" s="39">
        <v>12559826</v>
      </c>
      <c r="I182" s="40">
        <v>214085260</v>
      </c>
      <c r="J182" s="40">
        <v>214085260</v>
      </c>
      <c r="K182" s="46">
        <v>4.8499999999999996</v>
      </c>
      <c r="L182" s="46">
        <v>11.22</v>
      </c>
      <c r="M182" s="46">
        <v>42.19</v>
      </c>
      <c r="N182" s="36">
        <v>178</v>
      </c>
      <c r="O182" s="41">
        <v>42998.8674537037</v>
      </c>
    </row>
    <row r="183" spans="2:15" x14ac:dyDescent="0.25">
      <c r="B183" s="36" t="s">
        <v>2271</v>
      </c>
      <c r="C183" s="35" t="s">
        <v>168</v>
      </c>
      <c r="D183" s="36" t="s">
        <v>1235</v>
      </c>
      <c r="E183" s="37">
        <v>1.698E-5</v>
      </c>
      <c r="F183" s="38">
        <v>6.7432500000000006E-2</v>
      </c>
      <c r="G183" s="39">
        <v>40308.199999999997</v>
      </c>
      <c r="H183" s="39">
        <v>12340148</v>
      </c>
      <c r="I183" s="40">
        <v>183000000</v>
      </c>
      <c r="J183" s="40">
        <v>198360471</v>
      </c>
      <c r="K183" s="46">
        <v>-0.43</v>
      </c>
      <c r="L183" s="46">
        <v>-9.2200000000000006</v>
      </c>
      <c r="M183" s="46">
        <v>-20.82</v>
      </c>
      <c r="N183" s="36">
        <v>179</v>
      </c>
      <c r="O183" s="41">
        <v>42998.867962962962</v>
      </c>
    </row>
    <row r="184" spans="2:15" x14ac:dyDescent="0.25">
      <c r="B184" s="36" t="s">
        <v>3298</v>
      </c>
      <c r="C184" s="35" t="s">
        <v>3299</v>
      </c>
      <c r="D184" s="36" t="s">
        <v>3300</v>
      </c>
      <c r="E184" s="37">
        <v>2.2115000000000001E-4</v>
      </c>
      <c r="F184" s="38">
        <v>0.87763100000000005</v>
      </c>
      <c r="G184" s="39">
        <v>67805</v>
      </c>
      <c r="H184" s="39">
        <v>12337045</v>
      </c>
      <c r="I184" s="40">
        <v>14057212</v>
      </c>
      <c r="J184" s="40">
        <v>100000000</v>
      </c>
      <c r="K184" s="46">
        <v>-1.58</v>
      </c>
      <c r="L184" s="46">
        <v>14.21</v>
      </c>
      <c r="M184" s="46"/>
      <c r="N184" s="36">
        <v>180</v>
      </c>
      <c r="O184" s="41">
        <v>42998.864548611113</v>
      </c>
    </row>
    <row r="185" spans="2:15" x14ac:dyDescent="0.25">
      <c r="B185" s="36" t="s">
        <v>2273</v>
      </c>
      <c r="C185" s="35" t="s">
        <v>167</v>
      </c>
      <c r="D185" s="36" t="s">
        <v>1234</v>
      </c>
      <c r="E185" s="37">
        <v>2.1172000000000001E-4</v>
      </c>
      <c r="F185" s="38">
        <v>0.84081700000000004</v>
      </c>
      <c r="G185" s="39">
        <v>109919</v>
      </c>
      <c r="H185" s="39">
        <v>12318928</v>
      </c>
      <c r="I185" s="40">
        <v>14651140</v>
      </c>
      <c r="J185" s="40">
        <v>14651140</v>
      </c>
      <c r="K185" s="46">
        <v>-0.46</v>
      </c>
      <c r="L185" s="46">
        <v>0.75</v>
      </c>
      <c r="M185" s="46">
        <v>17.12</v>
      </c>
      <c r="N185" s="36">
        <v>181</v>
      </c>
      <c r="O185" s="41">
        <v>42998.867615740739</v>
      </c>
    </row>
    <row r="186" spans="2:15" x14ac:dyDescent="0.25">
      <c r="B186" s="36" t="s">
        <v>3240</v>
      </c>
      <c r="C186" s="35" t="s">
        <v>3241</v>
      </c>
      <c r="D186" s="36" t="s">
        <v>3242</v>
      </c>
      <c r="E186" s="37">
        <v>2.5002999999999999E-4</v>
      </c>
      <c r="F186" s="38">
        <v>0.99226599999999998</v>
      </c>
      <c r="G186" s="39">
        <v>108165</v>
      </c>
      <c r="H186" s="39">
        <v>12298078</v>
      </c>
      <c r="I186" s="40">
        <v>12393933</v>
      </c>
      <c r="J186" s="40">
        <v>13113221</v>
      </c>
      <c r="K186" s="46">
        <v>0.67</v>
      </c>
      <c r="L186" s="46">
        <v>-17.09</v>
      </c>
      <c r="M186" s="46">
        <v>-21.85</v>
      </c>
      <c r="N186" s="36">
        <v>182</v>
      </c>
      <c r="O186" s="41">
        <v>42998.864548611113</v>
      </c>
    </row>
    <row r="187" spans="2:15" x14ac:dyDescent="0.25">
      <c r="B187" s="36" t="s">
        <v>2498</v>
      </c>
      <c r="C187" s="35" t="s">
        <v>540</v>
      </c>
      <c r="D187" s="36" t="s">
        <v>1594</v>
      </c>
      <c r="E187" s="37">
        <v>8.9999999999999996E-7</v>
      </c>
      <c r="F187" s="38">
        <v>3.5742899999999999E-3</v>
      </c>
      <c r="G187" s="39">
        <v>2362.2399999999998</v>
      </c>
      <c r="H187" s="39">
        <v>12061129</v>
      </c>
      <c r="I187" s="40">
        <v>3374412641</v>
      </c>
      <c r="J187" s="40">
        <v>3374412641</v>
      </c>
      <c r="K187" s="46">
        <v>-16.7</v>
      </c>
      <c r="L187" s="46">
        <v>-17.54</v>
      </c>
      <c r="M187" s="46">
        <v>855.14</v>
      </c>
      <c r="N187" s="36">
        <v>183</v>
      </c>
      <c r="O187" s="41">
        <v>42998.867534722223</v>
      </c>
    </row>
    <row r="188" spans="2:15" x14ac:dyDescent="0.25">
      <c r="B188" s="36" t="s">
        <v>3205</v>
      </c>
      <c r="C188" s="35" t="s">
        <v>3206</v>
      </c>
      <c r="D188" s="36" t="s">
        <v>3207</v>
      </c>
      <c r="E188" s="37">
        <v>5.0381999999999998E-4</v>
      </c>
      <c r="F188" s="38">
        <v>1.99942</v>
      </c>
      <c r="G188" s="39">
        <v>134196</v>
      </c>
      <c r="H188" s="39">
        <v>11996520</v>
      </c>
      <c r="I188" s="40">
        <v>6000000</v>
      </c>
      <c r="J188" s="40">
        <v>10000000</v>
      </c>
      <c r="K188" s="46">
        <v>-0.28000000000000003</v>
      </c>
      <c r="L188" s="46">
        <v>7.16</v>
      </c>
      <c r="M188" s="46">
        <v>-15.83</v>
      </c>
      <c r="N188" s="36">
        <v>184</v>
      </c>
      <c r="O188" s="41">
        <v>42998.864548611113</v>
      </c>
    </row>
    <row r="189" spans="2:15" x14ac:dyDescent="0.25">
      <c r="B189" s="36" t="s">
        <v>2272</v>
      </c>
      <c r="C189" s="35" t="s">
        <v>174</v>
      </c>
      <c r="D189" s="36" t="s">
        <v>1240</v>
      </c>
      <c r="E189" s="37">
        <v>8.5930999999999996E-4</v>
      </c>
      <c r="F189" s="38">
        <v>3.41269</v>
      </c>
      <c r="G189" s="39">
        <v>58174.2</v>
      </c>
      <c r="H189" s="39">
        <v>11922117</v>
      </c>
      <c r="I189" s="40">
        <v>3493466</v>
      </c>
      <c r="J189" s="40">
        <v>3493466</v>
      </c>
      <c r="K189" s="46">
        <v>-0.76</v>
      </c>
      <c r="L189" s="46">
        <v>4.6900000000000004</v>
      </c>
      <c r="M189" s="46">
        <v>1.43</v>
      </c>
      <c r="N189" s="36">
        <v>185</v>
      </c>
      <c r="O189" s="41">
        <v>42998.867523148147</v>
      </c>
    </row>
    <row r="190" spans="2:15" x14ac:dyDescent="0.25">
      <c r="B190" s="36" t="s">
        <v>3255</v>
      </c>
      <c r="C190" s="35" t="s">
        <v>3256</v>
      </c>
      <c r="D190" s="36" t="s">
        <v>3257</v>
      </c>
      <c r="E190" s="37">
        <v>6.0083000000000001E-4</v>
      </c>
      <c r="F190" s="38">
        <v>2.3844099999999999</v>
      </c>
      <c r="G190" s="39">
        <v>157319</v>
      </c>
      <c r="H190" s="39">
        <v>11922050</v>
      </c>
      <c r="I190" s="40">
        <v>5000000</v>
      </c>
      <c r="J190" s="40">
        <v>20000000</v>
      </c>
      <c r="K190" s="46">
        <v>-2.04</v>
      </c>
      <c r="L190" s="46">
        <v>-12.16</v>
      </c>
      <c r="M190" s="46">
        <v>17.75</v>
      </c>
      <c r="N190" s="36">
        <v>186</v>
      </c>
      <c r="O190" s="41">
        <v>42998.864525462966</v>
      </c>
    </row>
    <row r="191" spans="2:15" x14ac:dyDescent="0.25">
      <c r="B191" s="36" t="s">
        <v>2299</v>
      </c>
      <c r="C191" s="35" t="s">
        <v>197</v>
      </c>
      <c r="D191" s="36" t="s">
        <v>1263</v>
      </c>
      <c r="E191" s="37">
        <v>1.3900000000000001E-5</v>
      </c>
      <c r="F191" s="38">
        <v>5.5203099999999998E-2</v>
      </c>
      <c r="G191" s="39">
        <v>1047020</v>
      </c>
      <c r="H191" s="39">
        <v>11907641</v>
      </c>
      <c r="I191" s="40">
        <v>215706019</v>
      </c>
      <c r="J191" s="40">
        <v>300706019</v>
      </c>
      <c r="K191" s="46">
        <v>-0.74</v>
      </c>
      <c r="L191" s="46">
        <v>-0.88</v>
      </c>
      <c r="M191" s="46">
        <v>26.56</v>
      </c>
      <c r="N191" s="36">
        <v>187</v>
      </c>
      <c r="O191" s="41">
        <v>42998.867754629631</v>
      </c>
    </row>
    <row r="192" spans="2:15" x14ac:dyDescent="0.25">
      <c r="B192" s="36" t="s">
        <v>2260</v>
      </c>
      <c r="C192" s="35" t="s">
        <v>162</v>
      </c>
      <c r="D192" s="36" t="s">
        <v>1229</v>
      </c>
      <c r="E192" s="37">
        <v>2.525E-5</v>
      </c>
      <c r="F192" s="38">
        <v>0.100274</v>
      </c>
      <c r="G192" s="39">
        <v>84493.6</v>
      </c>
      <c r="H192" s="39">
        <v>11519014</v>
      </c>
      <c r="I192" s="40">
        <v>114875380</v>
      </c>
      <c r="J192" s="40">
        <v>340282367</v>
      </c>
      <c r="K192" s="46">
        <v>-0.19</v>
      </c>
      <c r="L192" s="46">
        <v>1.62</v>
      </c>
      <c r="M192" s="46">
        <v>12.54</v>
      </c>
      <c r="N192" s="36">
        <v>188</v>
      </c>
      <c r="O192" s="41">
        <v>42998.867835648147</v>
      </c>
    </row>
    <row r="193" spans="2:15" x14ac:dyDescent="0.25">
      <c r="B193" s="36" t="s">
        <v>2251</v>
      </c>
      <c r="C193" s="35" t="s">
        <v>148</v>
      </c>
      <c r="D193" s="36" t="s">
        <v>1215</v>
      </c>
      <c r="E193" s="37">
        <v>1.2685999999999999E-4</v>
      </c>
      <c r="F193" s="38">
        <v>0.50381600000000004</v>
      </c>
      <c r="G193" s="39">
        <v>65673.7</v>
      </c>
      <c r="H193" s="39">
        <v>11460710</v>
      </c>
      <c r="I193" s="40">
        <v>22747809</v>
      </c>
      <c r="J193" s="40">
        <v>22747809</v>
      </c>
      <c r="K193" s="46">
        <v>1.05</v>
      </c>
      <c r="L193" s="46">
        <v>-5.95</v>
      </c>
      <c r="M193" s="46">
        <v>13.67</v>
      </c>
      <c r="N193" s="36">
        <v>189</v>
      </c>
      <c r="O193" s="41">
        <v>42998.86787037037</v>
      </c>
    </row>
    <row r="194" spans="2:15" x14ac:dyDescent="0.25">
      <c r="B194" s="36" t="s">
        <v>2267</v>
      </c>
      <c r="C194" s="35" t="s">
        <v>154</v>
      </c>
      <c r="D194" s="36" t="s">
        <v>1221</v>
      </c>
      <c r="E194" s="37">
        <v>2.876E-4</v>
      </c>
      <c r="F194" s="38">
        <v>1.14219</v>
      </c>
      <c r="G194" s="39">
        <v>25743.4</v>
      </c>
      <c r="H194" s="39">
        <v>11416007</v>
      </c>
      <c r="I194" s="40">
        <v>9994841</v>
      </c>
      <c r="J194" s="40">
        <v>10000000</v>
      </c>
      <c r="K194" s="46">
        <v>-1.68</v>
      </c>
      <c r="L194" s="46">
        <v>-7.28</v>
      </c>
      <c r="M194" s="46">
        <v>-8.7799999999999994</v>
      </c>
      <c r="N194" s="36">
        <v>190</v>
      </c>
      <c r="O194" s="41">
        <v>42998.867847222224</v>
      </c>
    </row>
    <row r="195" spans="2:15" x14ac:dyDescent="0.25">
      <c r="B195" s="36" t="s">
        <v>3193</v>
      </c>
      <c r="C195" s="35" t="s">
        <v>3192</v>
      </c>
      <c r="D195" s="36" t="s">
        <v>1206</v>
      </c>
      <c r="E195" s="37">
        <v>8.017E-5</v>
      </c>
      <c r="F195" s="38">
        <v>0.31839099999999998</v>
      </c>
      <c r="G195" s="39">
        <v>112759</v>
      </c>
      <c r="H195" s="39">
        <v>11391662</v>
      </c>
      <c r="I195" s="40">
        <v>35778844</v>
      </c>
      <c r="J195" s="40">
        <v>65778844</v>
      </c>
      <c r="K195" s="46">
        <v>-0.71</v>
      </c>
      <c r="L195" s="46">
        <v>9.52</v>
      </c>
      <c r="M195" s="46">
        <v>10.52</v>
      </c>
      <c r="N195" s="36">
        <v>191</v>
      </c>
      <c r="O195" s="41">
        <v>42998.868009259262</v>
      </c>
    </row>
    <row r="196" spans="2:15" x14ac:dyDescent="0.25">
      <c r="B196" s="36" t="s">
        <v>2335</v>
      </c>
      <c r="C196" s="35" t="s">
        <v>241</v>
      </c>
      <c r="D196" s="36" t="s">
        <v>1305</v>
      </c>
      <c r="E196" s="37">
        <v>1.7013E-4</v>
      </c>
      <c r="F196" s="38">
        <v>0.67564900000000006</v>
      </c>
      <c r="G196" s="39">
        <v>2521670</v>
      </c>
      <c r="H196" s="39">
        <v>11164424</v>
      </c>
      <c r="I196" s="40">
        <v>16524000</v>
      </c>
      <c r="J196" s="40">
        <v>16524000</v>
      </c>
      <c r="K196" s="46">
        <v>3.45</v>
      </c>
      <c r="L196" s="46">
        <v>98.82</v>
      </c>
      <c r="M196" s="46">
        <v>106.34</v>
      </c>
      <c r="N196" s="36">
        <v>192</v>
      </c>
      <c r="O196" s="41">
        <v>42998.867511574077</v>
      </c>
    </row>
    <row r="197" spans="2:15" x14ac:dyDescent="0.25">
      <c r="B197" s="36" t="s">
        <v>2279</v>
      </c>
      <c r="C197" s="35" t="s">
        <v>177</v>
      </c>
      <c r="D197" s="36" t="s">
        <v>177</v>
      </c>
      <c r="E197" s="37">
        <v>2.7849999999999999E-4</v>
      </c>
      <c r="F197" s="38">
        <v>1.1060399999999999</v>
      </c>
      <c r="G197" s="39">
        <v>81475.199999999997</v>
      </c>
      <c r="H197" s="39">
        <v>11060400</v>
      </c>
      <c r="I197" s="40">
        <v>10000000</v>
      </c>
      <c r="J197" s="40">
        <v>10000000</v>
      </c>
      <c r="K197" s="46">
        <v>0.62</v>
      </c>
      <c r="L197" s="46">
        <v>0.2</v>
      </c>
      <c r="M197" s="46">
        <v>-6.32</v>
      </c>
      <c r="N197" s="36">
        <v>193</v>
      </c>
      <c r="O197" s="41">
        <v>42998.867905092593</v>
      </c>
    </row>
    <row r="198" spans="2:15" x14ac:dyDescent="0.25">
      <c r="B198" s="36" t="s">
        <v>2280</v>
      </c>
      <c r="C198" s="35" t="s">
        <v>180</v>
      </c>
      <c r="D198" s="36" t="s">
        <v>1245</v>
      </c>
      <c r="E198" s="37">
        <v>1.3169999999999999E-5</v>
      </c>
      <c r="F198" s="38">
        <v>5.2318099999999999E-2</v>
      </c>
      <c r="G198" s="39">
        <v>371335</v>
      </c>
      <c r="H198" s="39">
        <v>10986801</v>
      </c>
      <c r="I198" s="40">
        <v>210000000</v>
      </c>
      <c r="J198" s="40">
        <v>210000000</v>
      </c>
      <c r="K198" s="46">
        <v>2.3199999999999998</v>
      </c>
      <c r="L198" s="46">
        <v>1.83</v>
      </c>
      <c r="M198" s="46">
        <v>9.66</v>
      </c>
      <c r="N198" s="36">
        <v>194</v>
      </c>
      <c r="O198" s="41">
        <v>42998.867696759262</v>
      </c>
    </row>
    <row r="199" spans="2:15" x14ac:dyDescent="0.25">
      <c r="B199" s="36" t="s">
        <v>2239</v>
      </c>
      <c r="C199" s="35" t="s">
        <v>121</v>
      </c>
      <c r="D199" s="36" t="s">
        <v>1186</v>
      </c>
      <c r="E199" s="37">
        <v>5.3820000000000003E-5</v>
      </c>
      <c r="F199" s="38">
        <v>0.21359900000000001</v>
      </c>
      <c r="G199" s="39">
        <v>16043.7</v>
      </c>
      <c r="H199" s="39">
        <v>10936269</v>
      </c>
      <c r="I199" s="40">
        <v>51200000</v>
      </c>
      <c r="J199" s="40">
        <v>100000000</v>
      </c>
      <c r="K199" s="46">
        <v>-0.3</v>
      </c>
      <c r="L199" s="46">
        <v>1.87</v>
      </c>
      <c r="M199" s="46">
        <v>5.55</v>
      </c>
      <c r="N199" s="36">
        <v>195</v>
      </c>
      <c r="O199" s="41">
        <v>42998.864525462966</v>
      </c>
    </row>
    <row r="200" spans="2:15" x14ac:dyDescent="0.25">
      <c r="B200" s="36" t="s">
        <v>2291</v>
      </c>
      <c r="C200" s="35" t="s">
        <v>191</v>
      </c>
      <c r="D200" s="36" t="s">
        <v>1257</v>
      </c>
      <c r="E200" s="37">
        <v>3.01E-6</v>
      </c>
      <c r="F200" s="38">
        <v>1.19734E-2</v>
      </c>
      <c r="G200" s="39">
        <v>914012</v>
      </c>
      <c r="H200" s="39">
        <v>10610971</v>
      </c>
      <c r="I200" s="40">
        <v>886211988</v>
      </c>
      <c r="J200" s="40">
        <v>1011211988</v>
      </c>
      <c r="K200" s="46">
        <v>0.37</v>
      </c>
      <c r="L200" s="46">
        <v>4.4000000000000004</v>
      </c>
      <c r="M200" s="46">
        <v>4.3099999999999996</v>
      </c>
      <c r="N200" s="36">
        <v>196</v>
      </c>
      <c r="O200" s="41">
        <v>42998.867789351854</v>
      </c>
    </row>
    <row r="201" spans="2:15" x14ac:dyDescent="0.25">
      <c r="B201" s="36" t="s">
        <v>2244</v>
      </c>
      <c r="C201" s="35" t="s">
        <v>141</v>
      </c>
      <c r="D201" s="36" t="s">
        <v>1208</v>
      </c>
      <c r="E201" s="37">
        <v>3.3900000000000002E-6</v>
      </c>
      <c r="F201" s="38">
        <v>1.34451E-2</v>
      </c>
      <c r="G201" s="39">
        <v>1736.81</v>
      </c>
      <c r="H201" s="39">
        <v>10398231</v>
      </c>
      <c r="I201" s="40">
        <v>773384424</v>
      </c>
      <c r="J201" s="40">
        <v>5000000000</v>
      </c>
      <c r="K201" s="46">
        <v>-0.05</v>
      </c>
      <c r="L201" s="46">
        <v>-4.03</v>
      </c>
      <c r="M201" s="46">
        <v>-10.48</v>
      </c>
      <c r="N201" s="36">
        <v>197</v>
      </c>
      <c r="O201" s="41">
        <v>42998.867881944447</v>
      </c>
    </row>
    <row r="202" spans="2:15" x14ac:dyDescent="0.25">
      <c r="B202" s="36" t="s">
        <v>2283</v>
      </c>
      <c r="C202" s="35" t="s">
        <v>184</v>
      </c>
      <c r="D202" s="36" t="s">
        <v>1249</v>
      </c>
      <c r="E202" s="37">
        <v>1.8340000000000001E-5</v>
      </c>
      <c r="F202" s="38">
        <v>7.2834399999999994E-2</v>
      </c>
      <c r="G202" s="39">
        <v>143330</v>
      </c>
      <c r="H202" s="39">
        <v>10018110</v>
      </c>
      <c r="I202" s="40">
        <v>137546404</v>
      </c>
      <c r="J202" s="40">
        <v>137546404</v>
      </c>
      <c r="K202" s="46">
        <v>-0.03</v>
      </c>
      <c r="L202" s="46">
        <v>2.2599999999999998</v>
      </c>
      <c r="M202" s="46">
        <v>-4.5</v>
      </c>
      <c r="N202" s="36">
        <v>198</v>
      </c>
      <c r="O202" s="41">
        <v>42998.86755787037</v>
      </c>
    </row>
    <row r="203" spans="2:15" x14ac:dyDescent="0.25">
      <c r="B203" s="36" t="s">
        <v>2270</v>
      </c>
      <c r="C203" s="35" t="s">
        <v>171</v>
      </c>
      <c r="D203" s="36" t="s">
        <v>171</v>
      </c>
      <c r="E203" s="37">
        <v>1.5815999999999999E-4</v>
      </c>
      <c r="F203" s="38">
        <v>0.62813099999999999</v>
      </c>
      <c r="G203" s="39">
        <v>5956.89</v>
      </c>
      <c r="H203" s="39">
        <v>9957070</v>
      </c>
      <c r="I203" s="40">
        <v>15851900</v>
      </c>
      <c r="J203" s="40">
        <v>15851900</v>
      </c>
      <c r="K203" s="46">
        <v>-0.56000000000000005</v>
      </c>
      <c r="L203" s="46">
        <v>0.22</v>
      </c>
      <c r="M203" s="46">
        <v>-22.97</v>
      </c>
      <c r="N203" s="36">
        <v>199</v>
      </c>
      <c r="O203" s="41">
        <v>42998.867638888885</v>
      </c>
    </row>
    <row r="204" spans="2:15" x14ac:dyDescent="0.25">
      <c r="B204" s="36" t="s">
        <v>3222</v>
      </c>
      <c r="C204" s="35" t="s">
        <v>3223</v>
      </c>
      <c r="D204" s="36" t="s">
        <v>3224</v>
      </c>
      <c r="E204" s="37">
        <v>6.5100000000000004E-6</v>
      </c>
      <c r="F204" s="38">
        <v>2.5826399999999999E-2</v>
      </c>
      <c r="G204" s="39">
        <v>97434.7</v>
      </c>
      <c r="H204" s="39">
        <v>9684900</v>
      </c>
      <c r="I204" s="40">
        <v>375000000</v>
      </c>
      <c r="J204" s="40">
        <v>500000000</v>
      </c>
      <c r="K204" s="46">
        <v>2.9</v>
      </c>
      <c r="L204" s="46">
        <v>-8.15</v>
      </c>
      <c r="M204" s="46">
        <v>-22.04</v>
      </c>
      <c r="N204" s="36">
        <v>200</v>
      </c>
      <c r="O204" s="41">
        <v>42998.864548611113</v>
      </c>
    </row>
    <row r="205" spans="2:15" x14ac:dyDescent="0.25">
      <c r="B205" s="36" t="s">
        <v>2287</v>
      </c>
      <c r="C205" s="35" t="s">
        <v>170</v>
      </c>
      <c r="D205" s="36" t="s">
        <v>1237</v>
      </c>
      <c r="E205" s="37">
        <v>1E-8</v>
      </c>
      <c r="F205" s="38">
        <v>4.3434699999999999E-5</v>
      </c>
      <c r="G205" s="39">
        <v>13638.4</v>
      </c>
      <c r="H205" s="39">
        <v>9655074</v>
      </c>
      <c r="I205" s="40">
        <v>222289403763</v>
      </c>
      <c r="J205" s="40">
        <v>222289403763</v>
      </c>
      <c r="K205" s="46">
        <v>-0.57999999999999996</v>
      </c>
      <c r="L205" s="46">
        <v>-40.270000000000003</v>
      </c>
      <c r="M205" s="46">
        <v>-29.14</v>
      </c>
      <c r="N205" s="36">
        <v>201</v>
      </c>
      <c r="O205" s="41">
        <v>42998.867430555554</v>
      </c>
    </row>
    <row r="206" spans="2:15" x14ac:dyDescent="0.25">
      <c r="B206" s="36" t="s">
        <v>2294</v>
      </c>
      <c r="C206" s="35" t="s">
        <v>185</v>
      </c>
      <c r="D206" s="36" t="s">
        <v>1250</v>
      </c>
      <c r="E206" s="37">
        <v>2.2837000000000001E-4</v>
      </c>
      <c r="F206" s="38">
        <v>0.90694699999999995</v>
      </c>
      <c r="G206" s="39">
        <v>92566.8</v>
      </c>
      <c r="H206" s="39">
        <v>9522944</v>
      </c>
      <c r="I206" s="40">
        <v>10500000</v>
      </c>
      <c r="J206" s="40">
        <v>10500000</v>
      </c>
      <c r="K206" s="46">
        <v>0.28999999999999998</v>
      </c>
      <c r="L206" s="46">
        <v>-2.42</v>
      </c>
      <c r="M206" s="46">
        <v>-7.06</v>
      </c>
      <c r="N206" s="36">
        <v>202</v>
      </c>
      <c r="O206" s="41">
        <v>42998.867962962962</v>
      </c>
    </row>
    <row r="207" spans="2:15" x14ac:dyDescent="0.25">
      <c r="B207" s="36" t="s">
        <v>2400</v>
      </c>
      <c r="C207" s="35" t="s">
        <v>294</v>
      </c>
      <c r="D207" s="36" t="s">
        <v>1357</v>
      </c>
      <c r="E207" s="37">
        <v>9.6299999999999993E-6</v>
      </c>
      <c r="F207" s="38">
        <v>3.8244899999999998E-2</v>
      </c>
      <c r="G207" s="39">
        <v>6539810</v>
      </c>
      <c r="H207" s="39">
        <v>9497713</v>
      </c>
      <c r="I207" s="40">
        <v>248339333</v>
      </c>
      <c r="J207" s="40">
        <v>248339333</v>
      </c>
      <c r="K207" s="46">
        <v>-5.4</v>
      </c>
      <c r="L207" s="46">
        <v>123.55</v>
      </c>
      <c r="M207" s="46">
        <v>234.39</v>
      </c>
      <c r="N207" s="36">
        <v>203</v>
      </c>
      <c r="O207" s="41">
        <v>42998.867488425924</v>
      </c>
    </row>
    <row r="208" spans="2:15" x14ac:dyDescent="0.25">
      <c r="B208" s="36" t="s">
        <v>2298</v>
      </c>
      <c r="C208" s="35" t="s">
        <v>204</v>
      </c>
      <c r="D208" s="36" t="s">
        <v>1269</v>
      </c>
      <c r="E208" s="37">
        <v>7.7700000000000005E-5</v>
      </c>
      <c r="F208" s="38">
        <v>0.30856600000000001</v>
      </c>
      <c r="G208" s="39">
        <v>217878</v>
      </c>
      <c r="H208" s="39">
        <v>9374034</v>
      </c>
      <c r="I208" s="40">
        <v>30379349</v>
      </c>
      <c r="J208" s="40">
        <v>30379349</v>
      </c>
      <c r="K208" s="46">
        <v>-1.1499999999999999</v>
      </c>
      <c r="L208" s="46">
        <v>0.47</v>
      </c>
      <c r="M208" s="46">
        <v>-13.12</v>
      </c>
      <c r="N208" s="36">
        <v>204</v>
      </c>
      <c r="O208" s="41">
        <v>42998.867488425924</v>
      </c>
    </row>
    <row r="209" spans="2:15" x14ac:dyDescent="0.25">
      <c r="B209" s="36" t="s">
        <v>2259</v>
      </c>
      <c r="C209" s="35" t="s">
        <v>152</v>
      </c>
      <c r="D209" s="36" t="s">
        <v>1219</v>
      </c>
      <c r="E209" s="37">
        <v>9.3029999999999995E-5</v>
      </c>
      <c r="F209" s="38">
        <v>0.369199</v>
      </c>
      <c r="G209" s="39">
        <v>105885</v>
      </c>
      <c r="H209" s="39">
        <v>9233390</v>
      </c>
      <c r="I209" s="40">
        <v>25009250</v>
      </c>
      <c r="J209" s="40">
        <v>100000000</v>
      </c>
      <c r="K209" s="46">
        <v>0.35</v>
      </c>
      <c r="L209" s="46">
        <v>-6.76</v>
      </c>
      <c r="M209" s="46">
        <v>-16.54</v>
      </c>
      <c r="N209" s="36">
        <v>205</v>
      </c>
      <c r="O209" s="41">
        <v>42998.864502314813</v>
      </c>
    </row>
    <row r="210" spans="2:15" x14ac:dyDescent="0.25">
      <c r="B210" s="36" t="s">
        <v>2269</v>
      </c>
      <c r="C210" s="35" t="s">
        <v>169</v>
      </c>
      <c r="D210" s="36" t="s">
        <v>1236</v>
      </c>
      <c r="E210" s="37">
        <v>5.1800000000000004E-6</v>
      </c>
      <c r="F210" s="38">
        <v>2.0583600000000001E-2</v>
      </c>
      <c r="G210" s="39">
        <v>1287.9100000000001</v>
      </c>
      <c r="H210" s="39">
        <v>9148267</v>
      </c>
      <c r="I210" s="40">
        <v>444444444</v>
      </c>
      <c r="J210" s="40">
        <v>8888888888</v>
      </c>
      <c r="K210" s="46">
        <v>-0.12</v>
      </c>
      <c r="L210" s="46">
        <v>-15.75</v>
      </c>
      <c r="M210" s="46">
        <v>-26.83</v>
      </c>
      <c r="N210" s="36">
        <v>206</v>
      </c>
      <c r="O210" s="41">
        <v>42998.867962962962</v>
      </c>
    </row>
    <row r="211" spans="2:15" x14ac:dyDescent="0.25">
      <c r="B211" s="36" t="s">
        <v>2373</v>
      </c>
      <c r="C211" s="35" t="s">
        <v>255</v>
      </c>
      <c r="D211" s="36" t="s">
        <v>1319</v>
      </c>
      <c r="E211" s="37">
        <v>4.7600000000000002E-6</v>
      </c>
      <c r="F211" s="38">
        <v>1.8915899999999999E-2</v>
      </c>
      <c r="G211" s="39">
        <v>28782.3</v>
      </c>
      <c r="H211" s="39">
        <v>9144350</v>
      </c>
      <c r="I211" s="40">
        <v>483421373</v>
      </c>
      <c r="J211" s="40">
        <v>483421373</v>
      </c>
      <c r="K211" s="46">
        <v>0.04</v>
      </c>
      <c r="L211" s="46">
        <v>-21.94</v>
      </c>
      <c r="M211" s="46">
        <v>169.64</v>
      </c>
      <c r="N211" s="36">
        <v>207</v>
      </c>
      <c r="O211" s="41">
        <v>42998.867986111109</v>
      </c>
    </row>
    <row r="212" spans="2:15" x14ac:dyDescent="0.25">
      <c r="B212" s="36" t="s">
        <v>2652</v>
      </c>
      <c r="C212" s="35" t="s">
        <v>533</v>
      </c>
      <c r="D212" s="36" t="s">
        <v>1588</v>
      </c>
      <c r="E212" s="37">
        <v>8.0887000000000005E-4</v>
      </c>
      <c r="F212" s="38">
        <v>3.2123599999999999</v>
      </c>
      <c r="G212" s="39">
        <v>9127.8799999999992</v>
      </c>
      <c r="H212" s="39">
        <v>8829763</v>
      </c>
      <c r="I212" s="40">
        <v>2748684</v>
      </c>
      <c r="J212" s="40">
        <v>2748684</v>
      </c>
      <c r="K212" s="46">
        <v>3.44</v>
      </c>
      <c r="L212" s="46">
        <v>-9.5500000000000007</v>
      </c>
      <c r="M212" s="46">
        <v>-17.170000000000002</v>
      </c>
      <c r="N212" s="36">
        <v>208</v>
      </c>
      <c r="O212" s="41">
        <v>42998.867708333331</v>
      </c>
    </row>
    <row r="213" spans="2:15" x14ac:dyDescent="0.25">
      <c r="B213" s="36" t="s">
        <v>2407</v>
      </c>
      <c r="C213" s="35" t="s">
        <v>281</v>
      </c>
      <c r="D213" s="36" t="s">
        <v>1344</v>
      </c>
      <c r="E213" s="37">
        <v>5.0000000000000001E-9</v>
      </c>
      <c r="F213" s="38">
        <v>1.9842899999999999E-5</v>
      </c>
      <c r="G213" s="39">
        <v>1878.38</v>
      </c>
      <c r="H213" s="39">
        <v>8793742</v>
      </c>
      <c r="I213" s="40">
        <v>443168182458</v>
      </c>
      <c r="J213" s="40">
        <v>443168182458</v>
      </c>
      <c r="K213" s="46">
        <v>-1.43</v>
      </c>
      <c r="L213" s="46">
        <v>487.13</v>
      </c>
      <c r="M213" s="46">
        <v>8.15</v>
      </c>
      <c r="N213" s="36">
        <v>209</v>
      </c>
      <c r="O213" s="41">
        <v>42998.867418981485</v>
      </c>
    </row>
    <row r="214" spans="2:15" x14ac:dyDescent="0.25">
      <c r="B214" s="36" t="s">
        <v>2286</v>
      </c>
      <c r="C214" s="35" t="s">
        <v>193</v>
      </c>
      <c r="D214" s="36" t="s">
        <v>1259</v>
      </c>
      <c r="E214" s="37">
        <v>7.0899000000000005E-4</v>
      </c>
      <c r="F214" s="38">
        <v>2.8157000000000001</v>
      </c>
      <c r="G214" s="39">
        <v>113733</v>
      </c>
      <c r="H214" s="39">
        <v>8680635</v>
      </c>
      <c r="I214" s="40">
        <v>3082940</v>
      </c>
      <c r="J214" s="40">
        <v>3082940</v>
      </c>
      <c r="K214" s="46">
        <v>0.68</v>
      </c>
      <c r="L214" s="46">
        <v>28.48</v>
      </c>
      <c r="M214" s="46">
        <v>22.29</v>
      </c>
      <c r="N214" s="36">
        <v>210</v>
      </c>
      <c r="O214" s="41">
        <v>42998.867581018516</v>
      </c>
    </row>
    <row r="215" spans="2:15" x14ac:dyDescent="0.25">
      <c r="B215" s="36" t="s">
        <v>2302</v>
      </c>
      <c r="C215" s="35" t="s">
        <v>201</v>
      </c>
      <c r="D215" s="36" t="s">
        <v>1267</v>
      </c>
      <c r="E215" s="37">
        <v>9.3449999999999995E-5</v>
      </c>
      <c r="F215" s="38">
        <v>0.37113299999999999</v>
      </c>
      <c r="G215" s="39">
        <v>127837</v>
      </c>
      <c r="H215" s="39">
        <v>8625182</v>
      </c>
      <c r="I215" s="40">
        <v>23240139</v>
      </c>
      <c r="J215" s="40">
        <v>23240139</v>
      </c>
      <c r="K215" s="46">
        <v>-0.43</v>
      </c>
      <c r="L215" s="46">
        <v>-1.17</v>
      </c>
      <c r="M215" s="46">
        <v>-5.31</v>
      </c>
      <c r="N215" s="36">
        <v>211</v>
      </c>
      <c r="O215" s="41">
        <v>42998.867627314816</v>
      </c>
    </row>
    <row r="216" spans="2:15" x14ac:dyDescent="0.25">
      <c r="B216" s="36" t="s">
        <v>2297</v>
      </c>
      <c r="C216" s="35" t="s">
        <v>187</v>
      </c>
      <c r="D216" s="36" t="s">
        <v>1252</v>
      </c>
      <c r="E216" s="37">
        <v>2.4551E-4</v>
      </c>
      <c r="F216" s="38">
        <v>0.97503600000000001</v>
      </c>
      <c r="G216" s="39">
        <v>9438.15</v>
      </c>
      <c r="H216" s="39">
        <v>8542619</v>
      </c>
      <c r="I216" s="40">
        <v>8761337</v>
      </c>
      <c r="J216" s="40">
        <v>8761337</v>
      </c>
      <c r="K216" s="46">
        <v>-0.06</v>
      </c>
      <c r="L216" s="46">
        <v>-2.11</v>
      </c>
      <c r="M216" s="46">
        <v>-13.96</v>
      </c>
      <c r="N216" s="36">
        <v>212</v>
      </c>
      <c r="O216" s="41">
        <v>42998.867939814816</v>
      </c>
    </row>
    <row r="217" spans="2:15" x14ac:dyDescent="0.25">
      <c r="B217" s="36" t="s">
        <v>2332</v>
      </c>
      <c r="C217" s="35" t="s">
        <v>231</v>
      </c>
      <c r="D217" s="36" t="s">
        <v>1295</v>
      </c>
      <c r="E217" s="37">
        <v>1.13894E-3</v>
      </c>
      <c r="F217" s="38">
        <v>4.5232200000000002</v>
      </c>
      <c r="G217" s="39">
        <v>15967.8</v>
      </c>
      <c r="H217" s="39">
        <v>8349608</v>
      </c>
      <c r="I217" s="40">
        <v>1845943</v>
      </c>
      <c r="J217" s="40">
        <v>1845943</v>
      </c>
      <c r="K217" s="46">
        <v>-0.05</v>
      </c>
      <c r="L217" s="46">
        <v>1.61</v>
      </c>
      <c r="M217" s="46">
        <v>53.97</v>
      </c>
      <c r="N217" s="36">
        <v>213</v>
      </c>
      <c r="O217" s="41">
        <v>42998.867395833331</v>
      </c>
    </row>
    <row r="218" spans="2:15" x14ac:dyDescent="0.25">
      <c r="B218" s="36" t="s">
        <v>2276</v>
      </c>
      <c r="C218" s="35" t="s">
        <v>172</v>
      </c>
      <c r="D218" s="36" t="s">
        <v>1238</v>
      </c>
      <c r="E218" s="37">
        <v>9.9950000000000004E-5</v>
      </c>
      <c r="F218" s="38">
        <v>0.39693499999999998</v>
      </c>
      <c r="G218" s="39">
        <v>30253.3</v>
      </c>
      <c r="H218" s="39">
        <v>8115894</v>
      </c>
      <c r="I218" s="40">
        <v>20446404</v>
      </c>
      <c r="J218" s="40">
        <v>20446404</v>
      </c>
      <c r="K218" s="46">
        <v>1.1200000000000001</v>
      </c>
      <c r="L218" s="46">
        <v>-1.52</v>
      </c>
      <c r="M218" s="46">
        <v>7.6</v>
      </c>
      <c r="N218" s="36">
        <v>214</v>
      </c>
      <c r="O218" s="41">
        <v>42998.867800925924</v>
      </c>
    </row>
    <row r="219" spans="2:15" x14ac:dyDescent="0.25">
      <c r="B219" s="36" t="s">
        <v>2295</v>
      </c>
      <c r="C219" s="35" t="s">
        <v>196</v>
      </c>
      <c r="D219" s="36" t="s">
        <v>1262</v>
      </c>
      <c r="E219" s="37">
        <v>1.153E-5</v>
      </c>
      <c r="F219" s="38">
        <v>4.5772899999999998E-2</v>
      </c>
      <c r="G219" s="39">
        <v>147173</v>
      </c>
      <c r="H219" s="39">
        <v>8051206</v>
      </c>
      <c r="I219" s="40">
        <v>175894600</v>
      </c>
      <c r="J219" s="40">
        <v>175894600</v>
      </c>
      <c r="K219" s="46">
        <v>0.56999999999999995</v>
      </c>
      <c r="L219" s="46">
        <v>1.38</v>
      </c>
      <c r="M219" s="46">
        <v>5.68</v>
      </c>
      <c r="N219" s="36">
        <v>215</v>
      </c>
      <c r="O219" s="41">
        <v>42998.867407407408</v>
      </c>
    </row>
    <row r="220" spans="2:15" x14ac:dyDescent="0.25">
      <c r="B220" s="36" t="s">
        <v>2304</v>
      </c>
      <c r="C220" s="35" t="s">
        <v>206</v>
      </c>
      <c r="D220" s="36" t="s">
        <v>1271</v>
      </c>
      <c r="E220" s="37">
        <v>1.19E-6</v>
      </c>
      <c r="F220" s="38">
        <v>4.7167099999999998E-3</v>
      </c>
      <c r="G220" s="39">
        <v>35717.599999999999</v>
      </c>
      <c r="H220" s="39">
        <v>8034214</v>
      </c>
      <c r="I220" s="40">
        <v>1703351264</v>
      </c>
      <c r="J220" s="40">
        <v>8852150937</v>
      </c>
      <c r="K220" s="46">
        <v>0.27</v>
      </c>
      <c r="L220" s="46">
        <v>2.27</v>
      </c>
      <c r="M220" s="46">
        <v>5.8</v>
      </c>
      <c r="N220" s="36">
        <v>216</v>
      </c>
      <c r="O220" s="41">
        <v>42998.867997685185</v>
      </c>
    </row>
    <row r="221" spans="2:15" x14ac:dyDescent="0.25">
      <c r="B221" s="36" t="s">
        <v>2268</v>
      </c>
      <c r="C221" s="35" t="s">
        <v>194</v>
      </c>
      <c r="D221" s="36" t="s">
        <v>1260</v>
      </c>
      <c r="E221" s="37">
        <v>8.0000000000000002E-8</v>
      </c>
      <c r="F221" s="38">
        <v>3.1771399999999997E-4</v>
      </c>
      <c r="G221" s="39">
        <v>3375.41</v>
      </c>
      <c r="H221" s="39">
        <v>7942248</v>
      </c>
      <c r="I221" s="40">
        <v>24998105116</v>
      </c>
      <c r="J221" s="40">
        <v>24998105116</v>
      </c>
      <c r="K221" s="46">
        <v>-4.03</v>
      </c>
      <c r="L221" s="46">
        <v>-9.2100000000000009</v>
      </c>
      <c r="M221" s="46">
        <v>-25.12</v>
      </c>
      <c r="N221" s="36">
        <v>217</v>
      </c>
      <c r="O221" s="41">
        <v>42998.867465277777</v>
      </c>
    </row>
    <row r="222" spans="2:15" x14ac:dyDescent="0.25">
      <c r="B222" s="36" t="s">
        <v>2326</v>
      </c>
      <c r="C222" s="35" t="s">
        <v>190</v>
      </c>
      <c r="D222" s="36" t="s">
        <v>1256</v>
      </c>
      <c r="E222" s="37">
        <v>4.9809999999999999E-5</v>
      </c>
      <c r="F222" s="38">
        <v>0.19767599999999999</v>
      </c>
      <c r="G222" s="39">
        <v>4751.66</v>
      </c>
      <c r="H222" s="39">
        <v>7907040</v>
      </c>
      <c r="I222" s="40">
        <v>40000000</v>
      </c>
      <c r="J222" s="40">
        <v>62500000</v>
      </c>
      <c r="K222" s="46">
        <v>-0.72</v>
      </c>
      <c r="L222" s="46">
        <v>2.2000000000000002</v>
      </c>
      <c r="M222" s="46">
        <v>0.09</v>
      </c>
      <c r="N222" s="36">
        <v>218</v>
      </c>
      <c r="O222" s="41">
        <v>42998.864502314813</v>
      </c>
    </row>
    <row r="223" spans="2:15" x14ac:dyDescent="0.25">
      <c r="B223" s="36" t="s">
        <v>2305</v>
      </c>
      <c r="C223" s="35" t="s">
        <v>210</v>
      </c>
      <c r="D223" s="36" t="s">
        <v>1275</v>
      </c>
      <c r="E223" s="37">
        <v>1.6699E-4</v>
      </c>
      <c r="F223" s="38">
        <v>0.66319099999999997</v>
      </c>
      <c r="G223" s="39">
        <v>978572</v>
      </c>
      <c r="H223" s="39">
        <v>7877941</v>
      </c>
      <c r="I223" s="40">
        <v>11878842</v>
      </c>
      <c r="J223" s="40">
        <v>11878842</v>
      </c>
      <c r="K223" s="46">
        <v>-9.7799999999999994</v>
      </c>
      <c r="L223" s="46">
        <v>24.16</v>
      </c>
      <c r="M223" s="46">
        <v>15.1</v>
      </c>
      <c r="N223" s="36">
        <v>219</v>
      </c>
      <c r="O223" s="41">
        <v>42998.867662037039</v>
      </c>
    </row>
    <row r="224" spans="2:15" x14ac:dyDescent="0.25">
      <c r="B224" s="36" t="s">
        <v>2292</v>
      </c>
      <c r="C224" s="35" t="s">
        <v>192</v>
      </c>
      <c r="D224" s="36" t="s">
        <v>1258</v>
      </c>
      <c r="E224" s="37">
        <v>5.6999999999999996E-6</v>
      </c>
      <c r="F224" s="38">
        <v>2.26295E-2</v>
      </c>
      <c r="G224" s="39">
        <v>142722</v>
      </c>
      <c r="H224" s="39">
        <v>7748413</v>
      </c>
      <c r="I224" s="40">
        <v>342403184</v>
      </c>
      <c r="J224" s="40">
        <v>342403184</v>
      </c>
      <c r="K224" s="46">
        <v>0.25</v>
      </c>
      <c r="L224" s="46">
        <v>3.79</v>
      </c>
      <c r="M224" s="46">
        <v>-3.36</v>
      </c>
      <c r="N224" s="36">
        <v>220</v>
      </c>
      <c r="O224" s="41">
        <v>42998.867881944447</v>
      </c>
    </row>
    <row r="225" spans="2:15" x14ac:dyDescent="0.25">
      <c r="B225" s="36" t="s">
        <v>2301</v>
      </c>
      <c r="C225" s="35" t="s">
        <v>199</v>
      </c>
      <c r="D225" s="36" t="s">
        <v>1265</v>
      </c>
      <c r="E225" s="37">
        <v>4.227E-5</v>
      </c>
      <c r="F225" s="38">
        <v>0.167876</v>
      </c>
      <c r="G225" s="39">
        <v>170666</v>
      </c>
      <c r="H225" s="39">
        <v>7725087</v>
      </c>
      <c r="I225" s="40">
        <v>46016625</v>
      </c>
      <c r="J225" s="40">
        <v>46016625</v>
      </c>
      <c r="K225" s="46">
        <v>0.64</v>
      </c>
      <c r="L225" s="46">
        <v>4.1399999999999997</v>
      </c>
      <c r="M225" s="46">
        <v>-16.57</v>
      </c>
      <c r="N225" s="36">
        <v>221</v>
      </c>
      <c r="O225" s="41">
        <v>42998.867939814816</v>
      </c>
    </row>
    <row r="226" spans="2:15" x14ac:dyDescent="0.25">
      <c r="B226" s="36" t="s">
        <v>2300</v>
      </c>
      <c r="C226" s="35" t="s">
        <v>200</v>
      </c>
      <c r="D226" s="36" t="s">
        <v>1266</v>
      </c>
      <c r="E226" s="37">
        <v>5.3199999999999999E-6</v>
      </c>
      <c r="F226" s="38">
        <v>2.11229E-2</v>
      </c>
      <c r="G226" s="39">
        <v>96357.6</v>
      </c>
      <c r="H226" s="39">
        <v>7618210</v>
      </c>
      <c r="I226" s="40">
        <v>360661200</v>
      </c>
      <c r="J226" s="40">
        <v>380661200</v>
      </c>
      <c r="K226" s="46">
        <v>0.2</v>
      </c>
      <c r="L226" s="46">
        <v>-1.56</v>
      </c>
      <c r="M226" s="46">
        <v>-5.39</v>
      </c>
      <c r="N226" s="36">
        <v>222</v>
      </c>
      <c r="O226" s="41">
        <v>42998.867488425924</v>
      </c>
    </row>
    <row r="227" spans="2:15" x14ac:dyDescent="0.25">
      <c r="B227" s="36" t="s">
        <v>2290</v>
      </c>
      <c r="C227" s="35" t="s">
        <v>188</v>
      </c>
      <c r="D227" s="36" t="s">
        <v>1253</v>
      </c>
      <c r="E227" s="37">
        <v>1.7280000000000001E-5</v>
      </c>
      <c r="F227" s="38">
        <v>6.8621000000000001E-2</v>
      </c>
      <c r="G227" s="39">
        <v>53917.8</v>
      </c>
      <c r="H227" s="39">
        <v>7544382</v>
      </c>
      <c r="I227" s="40">
        <v>109942758</v>
      </c>
      <c r="J227" s="40">
        <v>167270821</v>
      </c>
      <c r="K227" s="46">
        <v>-0.25</v>
      </c>
      <c r="L227" s="46">
        <v>2.73</v>
      </c>
      <c r="M227" s="46">
        <v>3.19</v>
      </c>
      <c r="N227" s="36">
        <v>223</v>
      </c>
      <c r="O227" s="41">
        <v>42998.867974537039</v>
      </c>
    </row>
    <row r="228" spans="2:15" x14ac:dyDescent="0.25">
      <c r="B228" s="36" t="s">
        <v>2331</v>
      </c>
      <c r="C228" s="35" t="s">
        <v>230</v>
      </c>
      <c r="D228" s="36" t="s">
        <v>1294</v>
      </c>
      <c r="E228" s="37">
        <v>9.3700000000000001E-6</v>
      </c>
      <c r="F228" s="38">
        <v>3.7213900000000001E-2</v>
      </c>
      <c r="G228" s="39">
        <v>31954</v>
      </c>
      <c r="H228" s="39">
        <v>7517208</v>
      </c>
      <c r="I228" s="40">
        <v>202000000</v>
      </c>
      <c r="J228" s="40">
        <v>10000000000</v>
      </c>
      <c r="K228" s="46">
        <v>1.06</v>
      </c>
      <c r="L228" s="46">
        <v>-3.75</v>
      </c>
      <c r="M228" s="46">
        <v>37.04</v>
      </c>
      <c r="N228" s="36">
        <v>224</v>
      </c>
      <c r="O228" s="41">
        <v>42998.86791666667</v>
      </c>
    </row>
    <row r="229" spans="2:15" x14ac:dyDescent="0.25">
      <c r="B229" s="36" t="s">
        <v>2274</v>
      </c>
      <c r="C229" s="35" t="s">
        <v>173</v>
      </c>
      <c r="D229" s="36" t="s">
        <v>1239</v>
      </c>
      <c r="E229" s="37">
        <v>2.2026099999999998E-3</v>
      </c>
      <c r="F229" s="38">
        <v>8.7475199999999997</v>
      </c>
      <c r="G229" s="39">
        <v>80208.899999999994</v>
      </c>
      <c r="H229" s="39">
        <v>7435388</v>
      </c>
      <c r="I229" s="40">
        <v>850000</v>
      </c>
      <c r="J229" s="40">
        <v>20000000</v>
      </c>
      <c r="K229" s="46">
        <v>-0.08</v>
      </c>
      <c r="L229" s="46">
        <v>1.1499999999999999</v>
      </c>
      <c r="M229" s="46">
        <v>-0.94</v>
      </c>
      <c r="N229" s="36">
        <v>225</v>
      </c>
      <c r="O229" s="41">
        <v>42998.867824074077</v>
      </c>
    </row>
    <row r="230" spans="2:15" x14ac:dyDescent="0.25">
      <c r="B230" s="36" t="s">
        <v>2325</v>
      </c>
      <c r="C230" s="35" t="s">
        <v>224</v>
      </c>
      <c r="D230" s="36" t="s">
        <v>1288</v>
      </c>
      <c r="E230" s="37">
        <v>5.079E-5</v>
      </c>
      <c r="F230" s="38">
        <v>0.20171700000000001</v>
      </c>
      <c r="G230" s="39">
        <v>78107.899999999994</v>
      </c>
      <c r="H230" s="39">
        <v>7386694</v>
      </c>
      <c r="I230" s="40">
        <v>36619095</v>
      </c>
      <c r="J230" s="40">
        <v>98034261351</v>
      </c>
      <c r="K230" s="46">
        <v>2.46</v>
      </c>
      <c r="L230" s="46">
        <v>11.41</v>
      </c>
      <c r="M230" s="46">
        <v>15.73</v>
      </c>
      <c r="N230" s="36">
        <v>226</v>
      </c>
      <c r="O230" s="41">
        <v>42998.867465277777</v>
      </c>
    </row>
    <row r="231" spans="2:15" x14ac:dyDescent="0.25">
      <c r="B231" s="36" t="s">
        <v>2181</v>
      </c>
      <c r="C231" s="35" t="s">
        <v>83</v>
      </c>
      <c r="D231" s="36" t="s">
        <v>1148</v>
      </c>
      <c r="E231" s="37">
        <v>2.474E-5</v>
      </c>
      <c r="F231" s="38">
        <v>9.8259100000000002E-2</v>
      </c>
      <c r="G231" s="39">
        <v>129838</v>
      </c>
      <c r="H231" s="39">
        <v>7369433</v>
      </c>
      <c r="I231" s="40">
        <v>75000000</v>
      </c>
      <c r="J231" s="40">
        <v>100000000</v>
      </c>
      <c r="K231" s="46">
        <v>-1.37</v>
      </c>
      <c r="L231" s="46">
        <v>4.49</v>
      </c>
      <c r="M231" s="46">
        <v>-66.77</v>
      </c>
      <c r="N231" s="36">
        <v>227</v>
      </c>
      <c r="O231" s="41">
        <v>42998.867881944447</v>
      </c>
    </row>
    <row r="232" spans="2:15" x14ac:dyDescent="0.25">
      <c r="B232" s="36" t="s">
        <v>2319</v>
      </c>
      <c r="C232" s="35" t="s">
        <v>216</v>
      </c>
      <c r="D232" s="36" t="s">
        <v>1281</v>
      </c>
      <c r="E232" s="37">
        <v>1.7932099999999999E-2</v>
      </c>
      <c r="F232" s="38">
        <v>71.215999999999994</v>
      </c>
      <c r="G232" s="39">
        <v>215164</v>
      </c>
      <c r="H232" s="39">
        <v>7180781</v>
      </c>
      <c r="I232" s="40">
        <v>100831</v>
      </c>
      <c r="J232" s="40">
        <v>100831</v>
      </c>
      <c r="K232" s="46">
        <v>-5.75</v>
      </c>
      <c r="L232" s="46">
        <v>19.91</v>
      </c>
      <c r="M232" s="46">
        <v>12.15</v>
      </c>
      <c r="N232" s="36">
        <v>228</v>
      </c>
      <c r="O232" s="41">
        <v>42998.867476851854</v>
      </c>
    </row>
    <row r="233" spans="2:15" x14ac:dyDescent="0.25">
      <c r="B233" s="36" t="s">
        <v>2364</v>
      </c>
      <c r="C233" s="35" t="s">
        <v>258</v>
      </c>
      <c r="D233" s="36" t="s">
        <v>1322</v>
      </c>
      <c r="E233" s="37">
        <v>9.1500000000000001E-4</v>
      </c>
      <c r="F233" s="38">
        <v>3.6338599999999999</v>
      </c>
      <c r="G233" s="39">
        <v>640923</v>
      </c>
      <c r="H233" s="39">
        <v>7177453</v>
      </c>
      <c r="I233" s="40">
        <v>1975159</v>
      </c>
      <c r="J233" s="40">
        <v>1975159</v>
      </c>
      <c r="K233" s="46">
        <v>-7.02</v>
      </c>
      <c r="L233" s="46">
        <v>-13.81</v>
      </c>
      <c r="M233" s="46">
        <v>55.58</v>
      </c>
      <c r="N233" s="36">
        <v>229</v>
      </c>
      <c r="O233" s="41">
        <v>42998.867523148147</v>
      </c>
    </row>
    <row r="234" spans="2:15" x14ac:dyDescent="0.25">
      <c r="B234" s="36" t="s">
        <v>2316</v>
      </c>
      <c r="C234" s="35" t="s">
        <v>215</v>
      </c>
      <c r="D234" s="36" t="s">
        <v>1280</v>
      </c>
      <c r="E234" s="37">
        <v>3.9950000000000002E-5</v>
      </c>
      <c r="F234" s="38">
        <v>0.15865899999999999</v>
      </c>
      <c r="G234" s="39">
        <v>234802</v>
      </c>
      <c r="H234" s="39">
        <v>7139050</v>
      </c>
      <c r="I234" s="40">
        <v>44996189</v>
      </c>
      <c r="J234" s="40">
        <v>44996189</v>
      </c>
      <c r="K234" s="46">
        <v>-0.79</v>
      </c>
      <c r="L234" s="46">
        <v>16.78</v>
      </c>
      <c r="M234" s="46">
        <v>25.75</v>
      </c>
      <c r="N234" s="36">
        <v>230</v>
      </c>
      <c r="O234" s="41">
        <v>42998.867754629631</v>
      </c>
    </row>
    <row r="235" spans="2:15" x14ac:dyDescent="0.25">
      <c r="B235" s="36" t="s">
        <v>2320</v>
      </c>
      <c r="C235" s="35" t="s">
        <v>217</v>
      </c>
      <c r="D235" s="36" t="s">
        <v>1282</v>
      </c>
      <c r="E235" s="37">
        <v>2.4700000000000001E-6</v>
      </c>
      <c r="F235" s="38">
        <v>9.7918499999999995E-3</v>
      </c>
      <c r="G235" s="39">
        <v>19273.2</v>
      </c>
      <c r="H235" s="39">
        <v>6872743</v>
      </c>
      <c r="I235" s="40">
        <v>701884009</v>
      </c>
      <c r="J235" s="40">
        <v>701884009</v>
      </c>
      <c r="K235" s="46">
        <v>1.19</v>
      </c>
      <c r="L235" s="46">
        <v>5.98</v>
      </c>
      <c r="M235" s="46">
        <v>-1.92</v>
      </c>
      <c r="N235" s="36">
        <v>231</v>
      </c>
      <c r="O235" s="41">
        <v>42998.867754629631</v>
      </c>
    </row>
    <row r="236" spans="2:15" x14ac:dyDescent="0.25">
      <c r="B236" s="36" t="s">
        <v>2357</v>
      </c>
      <c r="C236" s="35" t="s">
        <v>256</v>
      </c>
      <c r="D236" s="36" t="s">
        <v>1320</v>
      </c>
      <c r="E236" s="37">
        <v>1.2510000000000001E-4</v>
      </c>
      <c r="F236" s="38">
        <v>0.49682599999999999</v>
      </c>
      <c r="G236" s="39">
        <v>2275820</v>
      </c>
      <c r="H236" s="39">
        <v>6768639</v>
      </c>
      <c r="I236" s="40">
        <v>13623762</v>
      </c>
      <c r="J236" s="40">
        <v>13623762</v>
      </c>
      <c r="K236" s="46">
        <v>-4.03</v>
      </c>
      <c r="L236" s="46">
        <v>-27.63</v>
      </c>
      <c r="M236" s="46">
        <v>40.159999999999997</v>
      </c>
      <c r="N236" s="36">
        <v>232</v>
      </c>
      <c r="O236" s="41">
        <v>42998.867824074077</v>
      </c>
    </row>
    <row r="237" spans="2:15" x14ac:dyDescent="0.25">
      <c r="B237" s="36" t="s">
        <v>2285</v>
      </c>
      <c r="C237" s="35" t="s">
        <v>2</v>
      </c>
      <c r="D237" s="36" t="s">
        <v>1255</v>
      </c>
      <c r="E237" s="37">
        <v>3.9700000000000001E-6</v>
      </c>
      <c r="F237" s="38">
        <v>1.57582E-2</v>
      </c>
      <c r="G237" s="39">
        <v>36656.300000000003</v>
      </c>
      <c r="H237" s="39">
        <v>6681477</v>
      </c>
      <c r="I237" s="40">
        <v>424000000</v>
      </c>
      <c r="J237" s="40">
        <v>650000000</v>
      </c>
      <c r="K237" s="46">
        <v>-2.61</v>
      </c>
      <c r="L237" s="46">
        <v>-4.25</v>
      </c>
      <c r="M237" s="46">
        <v>-15.5</v>
      </c>
      <c r="N237" s="36">
        <v>233</v>
      </c>
      <c r="O237" s="41">
        <v>42998.867893518516</v>
      </c>
    </row>
    <row r="238" spans="2:15" x14ac:dyDescent="0.25">
      <c r="B238" s="36" t="s">
        <v>2422</v>
      </c>
      <c r="C238" s="35" t="s">
        <v>303</v>
      </c>
      <c r="D238" s="36" t="s">
        <v>1365</v>
      </c>
      <c r="E238" s="37">
        <v>3E-9</v>
      </c>
      <c r="F238" s="38">
        <v>1.2480700000000001E-5</v>
      </c>
      <c r="G238" s="39">
        <v>2180.9</v>
      </c>
      <c r="H238" s="39">
        <v>6667774</v>
      </c>
      <c r="I238" s="40">
        <v>534246789520</v>
      </c>
      <c r="J238" s="40">
        <v>534246789520</v>
      </c>
      <c r="K238" s="46">
        <v>0.67</v>
      </c>
      <c r="L238" s="46">
        <v>44.79</v>
      </c>
      <c r="M238" s="46">
        <v>108.42</v>
      </c>
      <c r="N238" s="36">
        <v>234</v>
      </c>
      <c r="O238" s="41">
        <v>42998.867418981485</v>
      </c>
    </row>
    <row r="239" spans="2:15" x14ac:dyDescent="0.25">
      <c r="B239" s="36" t="s">
        <v>2306</v>
      </c>
      <c r="C239" s="35" t="s">
        <v>208</v>
      </c>
      <c r="D239" s="36" t="s">
        <v>1273</v>
      </c>
      <c r="E239" s="37">
        <v>1.305E-5</v>
      </c>
      <c r="F239" s="38">
        <v>5.1819400000000002E-2</v>
      </c>
      <c r="G239" s="39">
        <v>40971.9</v>
      </c>
      <c r="H239" s="39">
        <v>6595024</v>
      </c>
      <c r="I239" s="40">
        <v>127269398</v>
      </c>
      <c r="J239" s="40">
        <v>127269398</v>
      </c>
      <c r="K239" s="46">
        <v>-0.64</v>
      </c>
      <c r="L239" s="46">
        <v>-2.2400000000000002</v>
      </c>
      <c r="M239" s="46">
        <v>-0.46</v>
      </c>
      <c r="N239" s="36">
        <v>235</v>
      </c>
      <c r="O239" s="41">
        <v>42998.867465277777</v>
      </c>
    </row>
    <row r="240" spans="2:15" x14ac:dyDescent="0.25">
      <c r="B240" s="36" t="s">
        <v>2333</v>
      </c>
      <c r="C240" s="35" t="s">
        <v>227</v>
      </c>
      <c r="D240" s="36" t="s">
        <v>1291</v>
      </c>
      <c r="E240" s="37">
        <v>3.2700000000000002E-5</v>
      </c>
      <c r="F240" s="38">
        <v>0.12986600000000001</v>
      </c>
      <c r="G240" s="39">
        <v>923908</v>
      </c>
      <c r="H240" s="39">
        <v>6493300</v>
      </c>
      <c r="I240" s="40">
        <v>50000000</v>
      </c>
      <c r="J240" s="40">
        <v>50000000</v>
      </c>
      <c r="K240" s="46">
        <v>-2.48</v>
      </c>
      <c r="L240" s="46">
        <v>7.34</v>
      </c>
      <c r="M240" s="46">
        <v>-0.77</v>
      </c>
      <c r="N240" s="36">
        <v>236</v>
      </c>
      <c r="O240" s="41">
        <v>42998.867719907408</v>
      </c>
    </row>
    <row r="241" spans="2:15" x14ac:dyDescent="0.25">
      <c r="B241" s="36" t="s">
        <v>2322</v>
      </c>
      <c r="C241" s="35" t="s">
        <v>222</v>
      </c>
      <c r="D241" s="36" t="s">
        <v>222</v>
      </c>
      <c r="E241" s="37">
        <v>2.0799999999999998E-3</v>
      </c>
      <c r="F241" s="38">
        <v>8.2605699999999995</v>
      </c>
      <c r="G241" s="39">
        <v>93360.5</v>
      </c>
      <c r="H241" s="39">
        <v>6421718</v>
      </c>
      <c r="I241" s="40">
        <v>777394</v>
      </c>
      <c r="J241" s="40">
        <v>877394</v>
      </c>
      <c r="K241" s="46">
        <v>-0.05</v>
      </c>
      <c r="L241" s="46">
        <v>5.07</v>
      </c>
      <c r="M241" s="46">
        <v>4.83</v>
      </c>
      <c r="N241" s="36">
        <v>237</v>
      </c>
      <c r="O241" s="41">
        <v>42998.86791666667</v>
      </c>
    </row>
    <row r="242" spans="2:15" x14ac:dyDescent="0.25">
      <c r="B242" s="36" t="s">
        <v>2318</v>
      </c>
      <c r="C242" s="35" t="s">
        <v>207</v>
      </c>
      <c r="D242" s="36" t="s">
        <v>1272</v>
      </c>
      <c r="E242" s="37">
        <v>3.8036E-4</v>
      </c>
      <c r="F242" s="38">
        <v>1.51057</v>
      </c>
      <c r="G242" s="39">
        <v>44466.5</v>
      </c>
      <c r="H242" s="39">
        <v>6177890</v>
      </c>
      <c r="I242" s="40">
        <v>4089774</v>
      </c>
      <c r="J242" s="40">
        <v>4089774</v>
      </c>
      <c r="K242" s="46">
        <v>-0.84</v>
      </c>
      <c r="L242" s="46">
        <v>4.25</v>
      </c>
      <c r="M242" s="46">
        <v>8.0299999999999994</v>
      </c>
      <c r="N242" s="36">
        <v>238</v>
      </c>
      <c r="O242" s="41">
        <v>42998.867534722223</v>
      </c>
    </row>
    <row r="243" spans="2:15" x14ac:dyDescent="0.25">
      <c r="B243" s="36" t="s">
        <v>2330</v>
      </c>
      <c r="C243" s="35" t="s">
        <v>238</v>
      </c>
      <c r="D243" s="36" t="s">
        <v>1302</v>
      </c>
      <c r="E243" s="37">
        <v>1.0344E-4</v>
      </c>
      <c r="F243" s="38">
        <v>0.41080100000000003</v>
      </c>
      <c r="G243" s="39">
        <v>2171.48</v>
      </c>
      <c r="H243" s="39">
        <v>6162015</v>
      </c>
      <c r="I243" s="40">
        <v>15000000</v>
      </c>
      <c r="J243" s="40">
        <v>15000000</v>
      </c>
      <c r="K243" s="46">
        <v>-1.1399999999999999</v>
      </c>
      <c r="L243" s="46">
        <v>12.16</v>
      </c>
      <c r="M243" s="46">
        <v>8.07</v>
      </c>
      <c r="N243" s="36">
        <v>239</v>
      </c>
      <c r="O243" s="41">
        <v>42998.867962962962</v>
      </c>
    </row>
    <row r="244" spans="2:15" x14ac:dyDescent="0.25">
      <c r="B244" s="36" t="s">
        <v>2367</v>
      </c>
      <c r="C244" s="35" t="s">
        <v>252</v>
      </c>
      <c r="D244" s="36" t="s">
        <v>1316</v>
      </c>
      <c r="E244" s="37">
        <v>3.1700000000000001E-6</v>
      </c>
      <c r="F244" s="38">
        <v>1.2601299999999999E-2</v>
      </c>
      <c r="G244" s="39">
        <v>4476.51</v>
      </c>
      <c r="H244" s="39">
        <v>6140005</v>
      </c>
      <c r="I244" s="40">
        <v>487251700</v>
      </c>
      <c r="J244" s="40">
        <v>512251700</v>
      </c>
      <c r="K244" s="46">
        <v>-4.84</v>
      </c>
      <c r="L244" s="46">
        <v>5.75</v>
      </c>
      <c r="M244" s="46">
        <v>-18.2</v>
      </c>
      <c r="N244" s="36">
        <v>240</v>
      </c>
      <c r="O244" s="41">
        <v>42998.867962962962</v>
      </c>
    </row>
    <row r="245" spans="2:15" x14ac:dyDescent="0.25">
      <c r="B245" s="36" t="s">
        <v>2356</v>
      </c>
      <c r="C245" s="35" t="s">
        <v>249</v>
      </c>
      <c r="D245" s="36" t="s">
        <v>1313</v>
      </c>
      <c r="E245" s="37">
        <v>1.0075E-4</v>
      </c>
      <c r="F245" s="38">
        <v>0.40012700000000001</v>
      </c>
      <c r="G245" s="39">
        <v>182472</v>
      </c>
      <c r="H245" s="39">
        <v>6103716</v>
      </c>
      <c r="I245" s="40">
        <v>15254447</v>
      </c>
      <c r="J245" s="40">
        <v>15254447</v>
      </c>
      <c r="K245" s="46">
        <v>-1.23</v>
      </c>
      <c r="L245" s="46">
        <v>-5.31</v>
      </c>
      <c r="M245" s="46">
        <v>-47.97</v>
      </c>
      <c r="N245" s="36">
        <v>241</v>
      </c>
      <c r="O245" s="41">
        <v>42998.867569444446</v>
      </c>
    </row>
    <row r="246" spans="2:15" x14ac:dyDescent="0.25">
      <c r="B246" s="36" t="s">
        <v>2327</v>
      </c>
      <c r="C246" s="35" t="s">
        <v>233</v>
      </c>
      <c r="D246" s="36" t="s">
        <v>1297</v>
      </c>
      <c r="E246" s="37">
        <v>6.0557999999999999E-4</v>
      </c>
      <c r="F246" s="38">
        <v>2.40327</v>
      </c>
      <c r="G246" s="39">
        <v>11608.7</v>
      </c>
      <c r="H246" s="39">
        <v>6026477</v>
      </c>
      <c r="I246" s="40">
        <v>2507616</v>
      </c>
      <c r="J246" s="40">
        <v>2812073</v>
      </c>
      <c r="K246" s="46">
        <v>-0.34</v>
      </c>
      <c r="L246" s="46">
        <v>1.78</v>
      </c>
      <c r="M246" s="46">
        <v>2.95</v>
      </c>
      <c r="N246" s="36">
        <v>242</v>
      </c>
      <c r="O246" s="41">
        <v>42998.864525462966</v>
      </c>
    </row>
    <row r="247" spans="2:15" x14ac:dyDescent="0.25">
      <c r="B247" s="36" t="s">
        <v>2308</v>
      </c>
      <c r="C247" s="35" t="s">
        <v>202</v>
      </c>
      <c r="D247" s="36" t="s">
        <v>202</v>
      </c>
      <c r="E247" s="37">
        <v>5.1950000000000002E-5</v>
      </c>
      <c r="F247" s="38">
        <v>0.20632700000000001</v>
      </c>
      <c r="G247" s="39">
        <v>8421.1</v>
      </c>
      <c r="H247" s="39">
        <v>5962431</v>
      </c>
      <c r="I247" s="40">
        <v>28897968</v>
      </c>
      <c r="J247" s="40">
        <v>28897968</v>
      </c>
      <c r="K247" s="46">
        <v>-0.4</v>
      </c>
      <c r="L247" s="46">
        <v>7.52</v>
      </c>
      <c r="M247" s="46">
        <v>-9.6199999999999992</v>
      </c>
      <c r="N247" s="36">
        <v>243</v>
      </c>
      <c r="O247" s="41">
        <v>42998.867731481485</v>
      </c>
    </row>
    <row r="248" spans="2:15" x14ac:dyDescent="0.25">
      <c r="B248" s="36" t="s">
        <v>2370</v>
      </c>
      <c r="C248" s="35" t="s">
        <v>254</v>
      </c>
      <c r="D248" s="36" t="s">
        <v>1318</v>
      </c>
      <c r="E248" s="37">
        <v>1.15E-5</v>
      </c>
      <c r="F248" s="38">
        <v>4.5671400000000001E-2</v>
      </c>
      <c r="G248" s="39">
        <v>106497</v>
      </c>
      <c r="H248" s="39">
        <v>5960332</v>
      </c>
      <c r="I248" s="40">
        <v>130504703</v>
      </c>
      <c r="J248" s="40">
        <v>130504703</v>
      </c>
      <c r="K248" s="46">
        <v>21.71</v>
      </c>
      <c r="L248" s="46">
        <v>53.79</v>
      </c>
      <c r="M248" s="46">
        <v>53.31</v>
      </c>
      <c r="N248" s="36">
        <v>244</v>
      </c>
      <c r="O248" s="41">
        <v>42998.867997685185</v>
      </c>
    </row>
    <row r="249" spans="2:15" x14ac:dyDescent="0.25">
      <c r="B249" s="36" t="s">
        <v>2351</v>
      </c>
      <c r="C249" s="35" t="s">
        <v>234</v>
      </c>
      <c r="D249" s="36" t="s">
        <v>1298</v>
      </c>
      <c r="E249" s="37">
        <v>3.4657999999999998E-4</v>
      </c>
      <c r="F249" s="38">
        <v>1.37642</v>
      </c>
      <c r="G249" s="39">
        <v>638166</v>
      </c>
      <c r="H249" s="39">
        <v>5844136</v>
      </c>
      <c r="I249" s="40">
        <v>4245896</v>
      </c>
      <c r="J249" s="40">
        <v>4245896</v>
      </c>
      <c r="K249" s="46">
        <v>1.01</v>
      </c>
      <c r="L249" s="46">
        <v>5.0999999999999996</v>
      </c>
      <c r="M249" s="46">
        <v>24.23</v>
      </c>
      <c r="N249" s="36">
        <v>245</v>
      </c>
      <c r="O249" s="41">
        <v>42998.867581018516</v>
      </c>
    </row>
    <row r="250" spans="2:15" x14ac:dyDescent="0.25">
      <c r="B250" s="36" t="s">
        <v>2324</v>
      </c>
      <c r="C250" s="35" t="s">
        <v>220</v>
      </c>
      <c r="D250" s="36" t="s">
        <v>1285</v>
      </c>
      <c r="E250" s="37">
        <v>2.3544000000000001E-4</v>
      </c>
      <c r="F250" s="38">
        <v>0.93435599999999996</v>
      </c>
      <c r="G250" s="39">
        <v>17704.2</v>
      </c>
      <c r="H250" s="39">
        <v>5837171</v>
      </c>
      <c r="I250" s="40">
        <v>6247267</v>
      </c>
      <c r="J250" s="40">
        <v>8924667</v>
      </c>
      <c r="K250" s="46">
        <v>-0.56000000000000005</v>
      </c>
      <c r="L250" s="46">
        <v>4.72</v>
      </c>
      <c r="M250" s="46">
        <v>26.79</v>
      </c>
      <c r="N250" s="36">
        <v>246</v>
      </c>
      <c r="O250" s="41">
        <v>42998.864525462966</v>
      </c>
    </row>
    <row r="251" spans="2:15" x14ac:dyDescent="0.25">
      <c r="B251" s="36" t="s">
        <v>2363</v>
      </c>
      <c r="C251" s="35" t="s">
        <v>261</v>
      </c>
      <c r="D251" s="36" t="s">
        <v>1325</v>
      </c>
      <c r="E251" s="37">
        <v>5.3919999999999999E-5</v>
      </c>
      <c r="F251" s="38">
        <v>0.21415400000000001</v>
      </c>
      <c r="G251" s="39">
        <v>197670</v>
      </c>
      <c r="H251" s="39">
        <v>5774251</v>
      </c>
      <c r="I251" s="40">
        <v>26963080</v>
      </c>
      <c r="J251" s="40">
        <v>26963080</v>
      </c>
      <c r="K251" s="46">
        <v>-0.08</v>
      </c>
      <c r="L251" s="46">
        <v>-13.06</v>
      </c>
      <c r="M251" s="46">
        <v>31.87</v>
      </c>
      <c r="N251" s="36">
        <v>247</v>
      </c>
      <c r="O251" s="41">
        <v>42998.8675</v>
      </c>
    </row>
    <row r="252" spans="2:15" x14ac:dyDescent="0.25">
      <c r="B252" s="36" t="s">
        <v>2390</v>
      </c>
      <c r="C252" s="35" t="s">
        <v>291</v>
      </c>
      <c r="D252" s="36" t="s">
        <v>1354</v>
      </c>
      <c r="E252" s="37">
        <v>4.0000000000000001E-8</v>
      </c>
      <c r="F252" s="38">
        <v>1.58803E-4</v>
      </c>
      <c r="G252" s="39">
        <v>195335</v>
      </c>
      <c r="H252" s="39">
        <v>5739521</v>
      </c>
      <c r="I252" s="40">
        <v>36142396227</v>
      </c>
      <c r="J252" s="40">
        <v>36144396227</v>
      </c>
      <c r="K252" s="46">
        <v>2.48</v>
      </c>
      <c r="L252" s="46">
        <v>22.62</v>
      </c>
      <c r="M252" s="46">
        <v>-49.55</v>
      </c>
      <c r="N252" s="36">
        <v>248</v>
      </c>
      <c r="O252" s="41">
        <v>42998.864502314813</v>
      </c>
    </row>
    <row r="253" spans="2:15" x14ac:dyDescent="0.25">
      <c r="B253" s="36" t="s">
        <v>2317</v>
      </c>
      <c r="C253" s="35" t="s">
        <v>228</v>
      </c>
      <c r="D253" s="36" t="s">
        <v>1292</v>
      </c>
      <c r="E253" s="37">
        <v>6.7000000000000004E-7</v>
      </c>
      <c r="F253" s="38">
        <v>2.66242E-3</v>
      </c>
      <c r="G253" s="39">
        <v>75963.600000000006</v>
      </c>
      <c r="H253" s="39">
        <v>5672600</v>
      </c>
      <c r="I253" s="40">
        <v>2130618000</v>
      </c>
      <c r="J253" s="40">
        <v>2130618000</v>
      </c>
      <c r="K253" s="46">
        <v>-1.52</v>
      </c>
      <c r="L253" s="46">
        <v>2.62</v>
      </c>
      <c r="M253" s="46">
        <v>1.77</v>
      </c>
      <c r="N253" s="36">
        <v>249</v>
      </c>
      <c r="O253" s="41">
        <v>42998.86755787037</v>
      </c>
    </row>
    <row r="254" spans="2:15" x14ac:dyDescent="0.25">
      <c r="B254" s="36" t="s">
        <v>2288</v>
      </c>
      <c r="C254" s="35" t="s">
        <v>183</v>
      </c>
      <c r="D254" s="36" t="s">
        <v>1248</v>
      </c>
      <c r="E254" s="37">
        <v>1.9017E-4</v>
      </c>
      <c r="F254" s="38">
        <v>0.75525200000000003</v>
      </c>
      <c r="G254" s="39">
        <v>15423.2</v>
      </c>
      <c r="H254" s="39">
        <v>5558746</v>
      </c>
      <c r="I254" s="40">
        <v>7360121</v>
      </c>
      <c r="J254" s="40">
        <v>9200151</v>
      </c>
      <c r="K254" s="46">
        <v>-3.59</v>
      </c>
      <c r="L254" s="46">
        <v>-7.23</v>
      </c>
      <c r="M254" s="46">
        <v>-23.48</v>
      </c>
      <c r="N254" s="36">
        <v>250</v>
      </c>
      <c r="O254" s="41">
        <v>42998.868009259262</v>
      </c>
    </row>
    <row r="255" spans="2:15" x14ac:dyDescent="0.25">
      <c r="B255" s="36" t="s">
        <v>2315</v>
      </c>
      <c r="C255" s="35" t="s">
        <v>211</v>
      </c>
      <c r="D255" s="36" t="s">
        <v>1276</v>
      </c>
      <c r="E255" s="37">
        <v>2.6599999999999999E-6</v>
      </c>
      <c r="F255" s="38">
        <v>1.05624E-2</v>
      </c>
      <c r="G255" s="39">
        <v>149074</v>
      </c>
      <c r="H255" s="39">
        <v>5541909</v>
      </c>
      <c r="I255" s="40">
        <v>524682737</v>
      </c>
      <c r="J255" s="40">
        <v>1000000000</v>
      </c>
      <c r="K255" s="46">
        <v>-0.01</v>
      </c>
      <c r="L255" s="46">
        <v>-1.1200000000000001</v>
      </c>
      <c r="M255" s="46">
        <v>-7.44</v>
      </c>
      <c r="N255" s="36">
        <v>251</v>
      </c>
      <c r="O255" s="41">
        <v>42998.867511574077</v>
      </c>
    </row>
    <row r="256" spans="2:15" x14ac:dyDescent="0.25">
      <c r="B256" s="36" t="s">
        <v>2339</v>
      </c>
      <c r="C256" s="35" t="s">
        <v>236</v>
      </c>
      <c r="D256" s="36" t="s">
        <v>1300</v>
      </c>
      <c r="E256" s="37">
        <v>1.6899999999999999E-6</v>
      </c>
      <c r="F256" s="38">
        <v>6.7125300000000004E-3</v>
      </c>
      <c r="G256" s="39">
        <v>246849</v>
      </c>
      <c r="H256" s="39">
        <v>5319930</v>
      </c>
      <c r="I256" s="40">
        <v>792537250</v>
      </c>
      <c r="J256" s="40">
        <v>792537250</v>
      </c>
      <c r="K256" s="46">
        <v>1.35</v>
      </c>
      <c r="L256" s="46">
        <v>-1.01</v>
      </c>
      <c r="M256" s="46">
        <v>2.86</v>
      </c>
      <c r="N256" s="36">
        <v>252</v>
      </c>
      <c r="O256" s="41">
        <v>42998.867523148147</v>
      </c>
    </row>
    <row r="257" spans="2:15" x14ac:dyDescent="0.25">
      <c r="B257" s="36" t="s">
        <v>2338</v>
      </c>
      <c r="C257" s="35" t="s">
        <v>229</v>
      </c>
      <c r="D257" s="36" t="s">
        <v>1293</v>
      </c>
      <c r="E257" s="37">
        <v>4.3999999999999999E-5</v>
      </c>
      <c r="F257" s="38">
        <v>0.17474300000000001</v>
      </c>
      <c r="G257" s="39">
        <v>62328.6</v>
      </c>
      <c r="H257" s="39">
        <v>5241909</v>
      </c>
      <c r="I257" s="40">
        <v>29997822</v>
      </c>
      <c r="J257" s="40">
        <v>206075989</v>
      </c>
      <c r="K257" s="46">
        <v>7.0000000000000007E-2</v>
      </c>
      <c r="L257" s="46">
        <v>3.64</v>
      </c>
      <c r="M257" s="46">
        <v>8.0399999999999991</v>
      </c>
      <c r="N257" s="36">
        <v>253</v>
      </c>
      <c r="O257" s="41">
        <v>42998.86791666667</v>
      </c>
    </row>
    <row r="258" spans="2:15" x14ac:dyDescent="0.25">
      <c r="B258" s="36" t="s">
        <v>2342</v>
      </c>
      <c r="C258" s="35" t="s">
        <v>243</v>
      </c>
      <c r="D258" s="36" t="s">
        <v>1307</v>
      </c>
      <c r="E258" s="37">
        <v>1.5211000000000001E-4</v>
      </c>
      <c r="F258" s="38">
        <v>0.60408499999999998</v>
      </c>
      <c r="G258" s="39">
        <v>11282.4</v>
      </c>
      <c r="H258" s="39">
        <v>5230252</v>
      </c>
      <c r="I258" s="40">
        <v>8658139</v>
      </c>
      <c r="J258" s="40">
        <v>8658139</v>
      </c>
      <c r="K258" s="46">
        <v>-0.39</v>
      </c>
      <c r="L258" s="46">
        <v>0.7</v>
      </c>
      <c r="M258" s="46">
        <v>2.2999999999999998</v>
      </c>
      <c r="N258" s="36">
        <v>254</v>
      </c>
      <c r="O258" s="41">
        <v>42998.8674537037</v>
      </c>
    </row>
    <row r="259" spans="2:15" x14ac:dyDescent="0.25">
      <c r="B259" s="36" t="s">
        <v>2345</v>
      </c>
      <c r="C259" s="35" t="s">
        <v>246</v>
      </c>
      <c r="D259" s="36" t="s">
        <v>1310</v>
      </c>
      <c r="E259" s="37">
        <v>5.5149999999999999E-5</v>
      </c>
      <c r="F259" s="38">
        <v>0.21903300000000001</v>
      </c>
      <c r="G259" s="39">
        <v>52589</v>
      </c>
      <c r="H259" s="39">
        <v>5205727</v>
      </c>
      <c r="I259" s="40">
        <v>23766864</v>
      </c>
      <c r="J259" s="40">
        <v>23766864</v>
      </c>
      <c r="K259" s="46">
        <v>-0.19</v>
      </c>
      <c r="L259" s="46">
        <v>3.53</v>
      </c>
      <c r="M259" s="46">
        <v>6.67</v>
      </c>
      <c r="N259" s="36">
        <v>255</v>
      </c>
      <c r="O259" s="41">
        <v>42998.8675</v>
      </c>
    </row>
    <row r="260" spans="2:15" x14ac:dyDescent="0.25">
      <c r="B260" s="36" t="s">
        <v>2359</v>
      </c>
      <c r="C260" s="35" t="s">
        <v>268</v>
      </c>
      <c r="D260" s="36" t="s">
        <v>1332</v>
      </c>
      <c r="E260" s="37">
        <v>3.1911E-4</v>
      </c>
      <c r="F260" s="38">
        <v>1.26732</v>
      </c>
      <c r="G260" s="39">
        <v>444353</v>
      </c>
      <c r="H260" s="39">
        <v>5153079</v>
      </c>
      <c r="I260" s="40">
        <v>4066123</v>
      </c>
      <c r="J260" s="40">
        <v>4066123</v>
      </c>
      <c r="K260" s="46">
        <v>-0.69</v>
      </c>
      <c r="L260" s="46">
        <v>13.26</v>
      </c>
      <c r="M260" s="46">
        <v>19.32</v>
      </c>
      <c r="N260" s="36">
        <v>256</v>
      </c>
      <c r="O260" s="41">
        <v>42998.867534722223</v>
      </c>
    </row>
    <row r="261" spans="2:15" x14ac:dyDescent="0.25">
      <c r="B261" s="36" t="s">
        <v>2368</v>
      </c>
      <c r="C261" s="35" t="s">
        <v>267</v>
      </c>
      <c r="D261" s="36" t="s">
        <v>1331</v>
      </c>
      <c r="E261" s="37">
        <v>3.1260000000000002E-5</v>
      </c>
      <c r="F261" s="38">
        <v>0.12415</v>
      </c>
      <c r="G261" s="39">
        <v>352529</v>
      </c>
      <c r="H261" s="39">
        <v>5029142</v>
      </c>
      <c r="I261" s="40">
        <v>40508596</v>
      </c>
      <c r="J261" s="40">
        <v>40508596</v>
      </c>
      <c r="K261" s="46">
        <v>-1.95</v>
      </c>
      <c r="L261" s="46">
        <v>-5.2</v>
      </c>
      <c r="M261" s="46">
        <v>6.77</v>
      </c>
      <c r="N261" s="36">
        <v>257</v>
      </c>
      <c r="O261" s="41">
        <v>42998.867407407408</v>
      </c>
    </row>
    <row r="262" spans="2:15" x14ac:dyDescent="0.25">
      <c r="B262" s="36" t="s">
        <v>2310</v>
      </c>
      <c r="C262" s="35" t="s">
        <v>195</v>
      </c>
      <c r="D262" s="36" t="s">
        <v>1261</v>
      </c>
      <c r="E262" s="37">
        <v>1.1999999999999999E-7</v>
      </c>
      <c r="F262" s="38">
        <v>4.72752E-4</v>
      </c>
      <c r="G262" s="39">
        <v>16082.1</v>
      </c>
      <c r="H262" s="39">
        <v>5018149</v>
      </c>
      <c r="I262" s="40">
        <v>10614760960</v>
      </c>
      <c r="J262" s="40">
        <v>100000000000</v>
      </c>
      <c r="K262" s="46">
        <v>2.08</v>
      </c>
      <c r="L262" s="46">
        <v>7.36</v>
      </c>
      <c r="M262" s="46">
        <v>4.4000000000000004</v>
      </c>
      <c r="N262" s="36">
        <v>258</v>
      </c>
      <c r="O262" s="41">
        <v>42998.86451388889</v>
      </c>
    </row>
    <row r="263" spans="2:15" x14ac:dyDescent="0.25">
      <c r="B263" s="36" t="s">
        <v>2329</v>
      </c>
      <c r="C263" s="35" t="s">
        <v>242</v>
      </c>
      <c r="D263" s="36" t="s">
        <v>1306</v>
      </c>
      <c r="E263" s="37">
        <v>1.2500000000000001E-6</v>
      </c>
      <c r="F263" s="38">
        <v>4.9642899999999997E-3</v>
      </c>
      <c r="G263" s="39">
        <v>99836.9</v>
      </c>
      <c r="H263" s="39">
        <v>4964290</v>
      </c>
      <c r="I263" s="40">
        <v>1000000000</v>
      </c>
      <c r="J263" s="40">
        <v>1200000000</v>
      </c>
      <c r="K263" s="46">
        <v>-0.97</v>
      </c>
      <c r="L263" s="46">
        <v>1.66</v>
      </c>
      <c r="M263" s="46">
        <v>2.38</v>
      </c>
      <c r="N263" s="36">
        <v>259</v>
      </c>
      <c r="O263" s="41">
        <v>42998.867581018516</v>
      </c>
    </row>
    <row r="264" spans="2:15" x14ac:dyDescent="0.25">
      <c r="B264" s="36" t="s">
        <v>2341</v>
      </c>
      <c r="C264" s="35" t="s">
        <v>247</v>
      </c>
      <c r="D264" s="36" t="s">
        <v>1311</v>
      </c>
      <c r="E264" s="37">
        <v>9.2429999999999994E-5</v>
      </c>
      <c r="F264" s="38">
        <v>0.36707899999999999</v>
      </c>
      <c r="G264" s="39">
        <v>40985.199999999997</v>
      </c>
      <c r="H264" s="39">
        <v>4951639</v>
      </c>
      <c r="I264" s="40">
        <v>13489300</v>
      </c>
      <c r="J264" s="40">
        <v>13489300</v>
      </c>
      <c r="K264" s="46">
        <v>0.28000000000000003</v>
      </c>
      <c r="L264" s="46">
        <v>-2</v>
      </c>
      <c r="M264" s="46">
        <v>-8.25</v>
      </c>
      <c r="N264" s="36">
        <v>260</v>
      </c>
      <c r="O264" s="41">
        <v>42998.867800925924</v>
      </c>
    </row>
    <row r="265" spans="2:15" x14ac:dyDescent="0.25">
      <c r="B265" s="36" t="s">
        <v>2441</v>
      </c>
      <c r="C265" s="35" t="s">
        <v>338</v>
      </c>
      <c r="D265" s="36" t="s">
        <v>1399</v>
      </c>
      <c r="E265" s="37">
        <v>5.4819999999999999E-4</v>
      </c>
      <c r="F265" s="38">
        <v>2.17713</v>
      </c>
      <c r="G265" s="39">
        <v>53944.5</v>
      </c>
      <c r="H265" s="39">
        <v>4882214</v>
      </c>
      <c r="I265" s="40">
        <v>2242500</v>
      </c>
      <c r="J265" s="40">
        <v>2242500</v>
      </c>
      <c r="K265" s="46">
        <v>-7.0000000000000007E-2</v>
      </c>
      <c r="L265" s="46">
        <v>12.82</v>
      </c>
      <c r="M265" s="46">
        <v>86.67</v>
      </c>
      <c r="N265" s="36">
        <v>261</v>
      </c>
      <c r="O265" s="41">
        <v>42998.867777777778</v>
      </c>
    </row>
    <row r="266" spans="2:15" x14ac:dyDescent="0.25">
      <c r="B266" s="36" t="s">
        <v>2384</v>
      </c>
      <c r="C266" s="35" t="s">
        <v>275</v>
      </c>
      <c r="D266" s="36" t="s">
        <v>1339</v>
      </c>
      <c r="E266" s="37">
        <v>1.9749999999999999E-5</v>
      </c>
      <c r="F266" s="38">
        <v>7.84329E-2</v>
      </c>
      <c r="G266" s="39">
        <v>33806.199999999997</v>
      </c>
      <c r="H266" s="39">
        <v>4790369</v>
      </c>
      <c r="I266" s="40">
        <v>61076014</v>
      </c>
      <c r="J266" s="40">
        <v>61076014</v>
      </c>
      <c r="K266" s="46">
        <v>-1.82</v>
      </c>
      <c r="L266" s="46">
        <v>1.52</v>
      </c>
      <c r="M266" s="46">
        <v>2.7</v>
      </c>
      <c r="N266" s="36">
        <v>262</v>
      </c>
      <c r="O266" s="41">
        <v>42998.867905092593</v>
      </c>
    </row>
    <row r="267" spans="2:15" x14ac:dyDescent="0.25">
      <c r="B267" s="36" t="s">
        <v>2397</v>
      </c>
      <c r="C267" s="35" t="s">
        <v>282</v>
      </c>
      <c r="D267" s="36" t="s">
        <v>1345</v>
      </c>
      <c r="E267" s="37">
        <v>1.2804E-4</v>
      </c>
      <c r="F267" s="38">
        <v>0.50850200000000001</v>
      </c>
      <c r="G267" s="39">
        <v>86190.5</v>
      </c>
      <c r="H267" s="39">
        <v>4745323</v>
      </c>
      <c r="I267" s="40">
        <v>9331965</v>
      </c>
      <c r="J267" s="40">
        <v>10431965</v>
      </c>
      <c r="K267" s="46">
        <v>-6.44</v>
      </c>
      <c r="L267" s="46">
        <v>-6.24</v>
      </c>
      <c r="M267" s="46">
        <v>9.23</v>
      </c>
      <c r="N267" s="36">
        <v>263</v>
      </c>
      <c r="O267" s="41">
        <v>42998.86791666667</v>
      </c>
    </row>
    <row r="268" spans="2:15" x14ac:dyDescent="0.25">
      <c r="B268" s="36" t="s">
        <v>2355</v>
      </c>
      <c r="C268" s="35" t="s">
        <v>251</v>
      </c>
      <c r="D268" s="36" t="s">
        <v>1315</v>
      </c>
      <c r="E268" s="37">
        <v>3.2068E-4</v>
      </c>
      <c r="F268" s="38">
        <v>1.2735399999999999</v>
      </c>
      <c r="G268" s="39">
        <v>37545.800000000003</v>
      </c>
      <c r="H268" s="39">
        <v>4744103</v>
      </c>
      <c r="I268" s="40">
        <v>3725131</v>
      </c>
      <c r="J268" s="40">
        <v>4988894</v>
      </c>
      <c r="K268" s="46">
        <v>-0.56999999999999995</v>
      </c>
      <c r="L268" s="46">
        <v>17.989999999999998</v>
      </c>
      <c r="M268" s="46">
        <v>27.8</v>
      </c>
      <c r="N268" s="36">
        <v>264</v>
      </c>
      <c r="O268" s="41">
        <v>42998.867939814816</v>
      </c>
    </row>
    <row r="269" spans="2:15" x14ac:dyDescent="0.25">
      <c r="B269" s="36" t="s">
        <v>2360</v>
      </c>
      <c r="C269" s="35" t="s">
        <v>257</v>
      </c>
      <c r="D269" s="36" t="s">
        <v>1321</v>
      </c>
      <c r="E269" s="37">
        <v>3.9100000000000002E-4</v>
      </c>
      <c r="F269" s="38">
        <v>1.5528500000000001</v>
      </c>
      <c r="G269" s="39">
        <v>238895</v>
      </c>
      <c r="H269" s="39">
        <v>4739800</v>
      </c>
      <c r="I269" s="40">
        <v>3052323</v>
      </c>
      <c r="J269" s="40">
        <v>3052323</v>
      </c>
      <c r="K269" s="46">
        <v>-2.56</v>
      </c>
      <c r="L269" s="46">
        <v>11.7</v>
      </c>
      <c r="M269" s="46">
        <v>22.12</v>
      </c>
      <c r="N269" s="36">
        <v>265</v>
      </c>
      <c r="O269" s="41">
        <v>42998.867604166669</v>
      </c>
    </row>
    <row r="270" spans="2:15" x14ac:dyDescent="0.25">
      <c r="B270" s="36" t="s">
        <v>2379</v>
      </c>
      <c r="C270" s="35" t="s">
        <v>277</v>
      </c>
      <c r="D270" s="36" t="s">
        <v>1341</v>
      </c>
      <c r="E270" s="37">
        <v>1.1974E-4</v>
      </c>
      <c r="F270" s="38">
        <v>0.47553899999999999</v>
      </c>
      <c r="G270" s="39">
        <v>212878</v>
      </c>
      <c r="H270" s="39">
        <v>4716963</v>
      </c>
      <c r="I270" s="40">
        <v>9919193</v>
      </c>
      <c r="J270" s="40">
        <v>9919193</v>
      </c>
      <c r="K270" s="46">
        <v>1.19</v>
      </c>
      <c r="L270" s="46">
        <v>17.09</v>
      </c>
      <c r="M270" s="46">
        <v>10</v>
      </c>
      <c r="N270" s="36">
        <v>266</v>
      </c>
      <c r="O270" s="41">
        <v>42998.867638888885</v>
      </c>
    </row>
    <row r="271" spans="2:15" x14ac:dyDescent="0.25">
      <c r="B271" s="36" t="s">
        <v>2456</v>
      </c>
      <c r="C271" s="35" t="s">
        <v>358</v>
      </c>
      <c r="D271" s="36" t="s">
        <v>1419</v>
      </c>
      <c r="E271" s="37">
        <v>1.27527E-3</v>
      </c>
      <c r="F271" s="38">
        <v>5.0646599999999999</v>
      </c>
      <c r="G271" s="39">
        <v>54430.8</v>
      </c>
      <c r="H271" s="39">
        <v>4705349</v>
      </c>
      <c r="I271" s="40">
        <v>929055</v>
      </c>
      <c r="J271" s="40">
        <v>16544163</v>
      </c>
      <c r="K271" s="46">
        <v>1.39</v>
      </c>
      <c r="L271" s="46">
        <v>5.9</v>
      </c>
      <c r="M271" s="46">
        <v>-41.3</v>
      </c>
      <c r="N271" s="36">
        <v>267</v>
      </c>
      <c r="O271" s="41">
        <v>42998.867905092593</v>
      </c>
    </row>
    <row r="272" spans="2:15" x14ac:dyDescent="0.25">
      <c r="B272" s="36" t="s">
        <v>2334</v>
      </c>
      <c r="C272" s="35" t="s">
        <v>237</v>
      </c>
      <c r="D272" s="36" t="s">
        <v>1301</v>
      </c>
      <c r="E272" s="37">
        <v>1.0085199999999999E-3</v>
      </c>
      <c r="F272" s="38">
        <v>4.0052599999999998</v>
      </c>
      <c r="G272" s="39">
        <v>48722.7</v>
      </c>
      <c r="H272" s="39">
        <v>4701102</v>
      </c>
      <c r="I272" s="40">
        <v>1173732</v>
      </c>
      <c r="J272" s="40">
        <v>1173732</v>
      </c>
      <c r="K272" s="46">
        <v>-1.44</v>
      </c>
      <c r="L272" s="46">
        <v>-9.0500000000000007</v>
      </c>
      <c r="M272" s="46">
        <v>-4.5</v>
      </c>
      <c r="N272" s="36">
        <v>268</v>
      </c>
      <c r="O272" s="41">
        <v>42998.867881944447</v>
      </c>
    </row>
    <row r="273" spans="2:15" x14ac:dyDescent="0.25">
      <c r="B273" s="36" t="s">
        <v>2349</v>
      </c>
      <c r="C273" s="35" t="s">
        <v>263</v>
      </c>
      <c r="D273" s="36" t="s">
        <v>1327</v>
      </c>
      <c r="E273" s="37">
        <v>1.1199999999999999E-5</v>
      </c>
      <c r="F273" s="38">
        <v>4.4462399999999999E-2</v>
      </c>
      <c r="G273" s="39">
        <v>150114</v>
      </c>
      <c r="H273" s="39">
        <v>4655747</v>
      </c>
      <c r="I273" s="40">
        <v>104712011</v>
      </c>
      <c r="J273" s="40">
        <v>122707503</v>
      </c>
      <c r="K273" s="46">
        <v>6.43</v>
      </c>
      <c r="L273" s="46">
        <v>24.9</v>
      </c>
      <c r="M273" s="46">
        <v>19.350000000000001</v>
      </c>
      <c r="N273" s="36">
        <v>269</v>
      </c>
      <c r="O273" s="41">
        <v>42998.867974537039</v>
      </c>
    </row>
    <row r="274" spans="2:15" x14ac:dyDescent="0.25">
      <c r="B274" s="36" t="s">
        <v>2307</v>
      </c>
      <c r="C274" s="35" t="s">
        <v>272</v>
      </c>
      <c r="D274" s="36" t="s">
        <v>1336</v>
      </c>
      <c r="E274" s="37">
        <v>1.878E-5</v>
      </c>
      <c r="F274" s="38">
        <v>7.4600700000000006E-2</v>
      </c>
      <c r="G274" s="39">
        <v>1559.7</v>
      </c>
      <c r="H274" s="39">
        <v>4635030</v>
      </c>
      <c r="I274" s="40">
        <v>62131190</v>
      </c>
      <c r="J274" s="40">
        <v>77663987</v>
      </c>
      <c r="K274" s="46">
        <v>-0.41</v>
      </c>
      <c r="L274" s="46">
        <v>9.81</v>
      </c>
      <c r="M274" s="46">
        <v>14.1</v>
      </c>
      <c r="N274" s="36">
        <v>270</v>
      </c>
      <c r="O274" s="41">
        <v>42998.867928240739</v>
      </c>
    </row>
    <row r="275" spans="2:15" x14ac:dyDescent="0.25">
      <c r="B275" s="36" t="s">
        <v>2340</v>
      </c>
      <c r="C275" s="35" t="s">
        <v>245</v>
      </c>
      <c r="D275" s="36" t="s">
        <v>1309</v>
      </c>
      <c r="E275" s="37">
        <v>3.048E-5</v>
      </c>
      <c r="F275" s="38">
        <v>0.121049</v>
      </c>
      <c r="G275" s="39">
        <v>88368</v>
      </c>
      <c r="H275" s="39">
        <v>4555585</v>
      </c>
      <c r="I275" s="40">
        <v>37634225</v>
      </c>
      <c r="J275" s="40">
        <v>37634225</v>
      </c>
      <c r="K275" s="46">
        <v>-0.4</v>
      </c>
      <c r="L275" s="46">
        <v>7.13</v>
      </c>
      <c r="M275" s="46">
        <v>-7.29</v>
      </c>
      <c r="N275" s="36">
        <v>271</v>
      </c>
      <c r="O275" s="41">
        <v>42998.867476851854</v>
      </c>
    </row>
    <row r="276" spans="2:15" x14ac:dyDescent="0.25">
      <c r="B276" s="36" t="s">
        <v>2437</v>
      </c>
      <c r="C276" s="35" t="s">
        <v>339</v>
      </c>
      <c r="D276" s="36" t="s">
        <v>1400</v>
      </c>
      <c r="E276" s="37">
        <v>2.5979999999999999E-5</v>
      </c>
      <c r="F276" s="38">
        <v>0.103185</v>
      </c>
      <c r="G276" s="39">
        <v>103983</v>
      </c>
      <c r="H276" s="39">
        <v>4550459</v>
      </c>
      <c r="I276" s="40">
        <v>44100000</v>
      </c>
      <c r="J276" s="40">
        <v>70000000</v>
      </c>
      <c r="K276" s="46">
        <v>-0.26</v>
      </c>
      <c r="L276" s="46">
        <v>10.45</v>
      </c>
      <c r="M276" s="46">
        <v>38.950000000000003</v>
      </c>
      <c r="N276" s="36">
        <v>272</v>
      </c>
      <c r="O276" s="41">
        <v>42998.867800925924</v>
      </c>
    </row>
    <row r="277" spans="2:15" x14ac:dyDescent="0.25">
      <c r="B277" s="36" t="s">
        <v>2358</v>
      </c>
      <c r="C277" s="35" t="s">
        <v>250</v>
      </c>
      <c r="D277" s="36" t="s">
        <v>1314</v>
      </c>
      <c r="E277" s="37">
        <v>1.11E-5</v>
      </c>
      <c r="F277" s="38">
        <v>4.40819E-2</v>
      </c>
      <c r="G277" s="39">
        <v>178103</v>
      </c>
      <c r="H277" s="39">
        <v>4548414</v>
      </c>
      <c r="I277" s="40">
        <v>103180988</v>
      </c>
      <c r="J277" s="40">
        <v>103180988</v>
      </c>
      <c r="K277" s="46">
        <v>-1.52</v>
      </c>
      <c r="L277" s="46">
        <v>8.66</v>
      </c>
      <c r="M277" s="46">
        <v>7.9</v>
      </c>
      <c r="N277" s="36">
        <v>273</v>
      </c>
      <c r="O277" s="41">
        <v>42998.867627314816</v>
      </c>
    </row>
    <row r="278" spans="2:15" x14ac:dyDescent="0.25">
      <c r="B278" s="36" t="s">
        <v>2343</v>
      </c>
      <c r="C278" s="35" t="s">
        <v>260</v>
      </c>
      <c r="D278" s="36" t="s">
        <v>1324</v>
      </c>
      <c r="E278" s="37">
        <v>1.9244500000000001E-2</v>
      </c>
      <c r="F278" s="38">
        <v>76.428299999999993</v>
      </c>
      <c r="G278" s="39">
        <v>2292.85</v>
      </c>
      <c r="H278" s="39">
        <v>4486570</v>
      </c>
      <c r="I278" s="40">
        <v>58703</v>
      </c>
      <c r="J278" s="40">
        <v>1000000</v>
      </c>
      <c r="K278" s="46">
        <v>-0.43</v>
      </c>
      <c r="L278" s="46">
        <v>-0.11</v>
      </c>
      <c r="M278" s="46">
        <v>9.67</v>
      </c>
      <c r="N278" s="36">
        <v>274</v>
      </c>
      <c r="O278" s="41">
        <v>42998.867511574077</v>
      </c>
    </row>
    <row r="279" spans="2:15" x14ac:dyDescent="0.25">
      <c r="B279" s="36" t="s">
        <v>2354</v>
      </c>
      <c r="C279" s="35" t="s">
        <v>259</v>
      </c>
      <c r="D279" s="36" t="s">
        <v>1323</v>
      </c>
      <c r="E279" s="37">
        <v>2.9999999999999997E-8</v>
      </c>
      <c r="F279" s="38">
        <v>1.06785E-4</v>
      </c>
      <c r="G279" s="39">
        <v>8599.42</v>
      </c>
      <c r="H279" s="39">
        <v>4341773</v>
      </c>
      <c r="I279" s="40">
        <v>40659020000</v>
      </c>
      <c r="J279" s="40">
        <v>40659020000</v>
      </c>
      <c r="K279" s="46">
        <v>0.32</v>
      </c>
      <c r="L279" s="46">
        <v>-4.33</v>
      </c>
      <c r="M279" s="46">
        <v>-6.93</v>
      </c>
      <c r="N279" s="36">
        <v>275</v>
      </c>
      <c r="O279" s="41">
        <v>42998.867534722223</v>
      </c>
    </row>
    <row r="280" spans="2:15" x14ac:dyDescent="0.25">
      <c r="B280" s="36" t="s">
        <v>2313</v>
      </c>
      <c r="C280" s="35" t="s">
        <v>213</v>
      </c>
      <c r="D280" s="36" t="s">
        <v>1278</v>
      </c>
      <c r="E280" s="37">
        <v>2.658E-5</v>
      </c>
      <c r="F280" s="38">
        <v>0.10557900000000001</v>
      </c>
      <c r="G280" s="39">
        <v>17632.900000000001</v>
      </c>
      <c r="H280" s="39">
        <v>4329172</v>
      </c>
      <c r="I280" s="40">
        <v>41004100</v>
      </c>
      <c r="J280" s="40">
        <v>400000000</v>
      </c>
      <c r="K280" s="46">
        <v>-0.66</v>
      </c>
      <c r="L280" s="46">
        <v>-7.93</v>
      </c>
      <c r="M280" s="46">
        <v>-6.71</v>
      </c>
      <c r="N280" s="36">
        <v>276</v>
      </c>
      <c r="O280" s="41">
        <v>42998.868009259262</v>
      </c>
    </row>
    <row r="281" spans="2:15" x14ac:dyDescent="0.25">
      <c r="B281" s="36" t="s">
        <v>2386</v>
      </c>
      <c r="C281" s="35" t="s">
        <v>300</v>
      </c>
      <c r="D281" s="36" t="s">
        <v>1362</v>
      </c>
      <c r="E281" s="37">
        <v>8.1699999999999997E-6</v>
      </c>
      <c r="F281" s="38">
        <v>3.2433400000000001E-2</v>
      </c>
      <c r="G281" s="39">
        <v>33346.6</v>
      </c>
      <c r="H281" s="39">
        <v>4239589</v>
      </c>
      <c r="I281" s="40">
        <v>130716764</v>
      </c>
      <c r="J281" s="40">
        <v>130716764</v>
      </c>
      <c r="K281" s="46">
        <v>-0.28000000000000003</v>
      </c>
      <c r="L281" s="46">
        <v>1.63</v>
      </c>
      <c r="M281" s="46">
        <v>2</v>
      </c>
      <c r="N281" s="36">
        <v>277</v>
      </c>
      <c r="O281" s="41">
        <v>42998.8674537037</v>
      </c>
    </row>
    <row r="282" spans="2:15" x14ac:dyDescent="0.25">
      <c r="B282" s="36" t="s">
        <v>2336</v>
      </c>
      <c r="C282" s="35" t="s">
        <v>226</v>
      </c>
      <c r="D282" s="36" t="s">
        <v>1290</v>
      </c>
      <c r="E282" s="37">
        <v>1.0574600000000001</v>
      </c>
      <c r="F282" s="38">
        <v>4199.6099999999997</v>
      </c>
      <c r="G282" s="39">
        <v>2284.84</v>
      </c>
      <c r="H282" s="39">
        <v>4199610</v>
      </c>
      <c r="I282" s="40">
        <v>1000</v>
      </c>
      <c r="J282" s="40">
        <v>1250</v>
      </c>
      <c r="K282" s="46">
        <v>-0.56999999999999995</v>
      </c>
      <c r="L282" s="46">
        <v>11.93</v>
      </c>
      <c r="M282" s="46">
        <v>-3.34</v>
      </c>
      <c r="N282" s="36">
        <v>278</v>
      </c>
      <c r="O282" s="41">
        <v>42998.867974537039</v>
      </c>
    </row>
    <row r="283" spans="2:15" x14ac:dyDescent="0.25">
      <c r="B283" s="36" t="s">
        <v>2432</v>
      </c>
      <c r="C283" s="35" t="s">
        <v>340</v>
      </c>
      <c r="D283" s="36" t="s">
        <v>1401</v>
      </c>
      <c r="E283" s="37">
        <v>1.9939999999999999E-5</v>
      </c>
      <c r="F283" s="38">
        <v>7.9193399999999997E-2</v>
      </c>
      <c r="G283" s="39">
        <v>57897</v>
      </c>
      <c r="H283" s="39">
        <v>4019218</v>
      </c>
      <c r="I283" s="40">
        <v>50751934</v>
      </c>
      <c r="J283" s="40">
        <v>62751934</v>
      </c>
      <c r="K283" s="46">
        <v>8.66</v>
      </c>
      <c r="L283" s="46">
        <v>51.93</v>
      </c>
      <c r="M283" s="46">
        <v>127.35</v>
      </c>
      <c r="N283" s="36">
        <v>279</v>
      </c>
      <c r="O283" s="41">
        <v>42998.867858796293</v>
      </c>
    </row>
    <row r="284" spans="2:15" x14ac:dyDescent="0.25">
      <c r="B284" s="36" t="s">
        <v>2413</v>
      </c>
      <c r="C284" s="35" t="s">
        <v>314</v>
      </c>
      <c r="D284" s="36" t="s">
        <v>1376</v>
      </c>
      <c r="E284" s="37">
        <v>1.6516E-4</v>
      </c>
      <c r="F284" s="38">
        <v>0.65592700000000004</v>
      </c>
      <c r="G284" s="39">
        <v>1535550</v>
      </c>
      <c r="H284" s="39">
        <v>4018225</v>
      </c>
      <c r="I284" s="40">
        <v>6126025</v>
      </c>
      <c r="J284" s="40">
        <v>6126025</v>
      </c>
      <c r="K284" s="46">
        <v>-1.28</v>
      </c>
      <c r="L284" s="46">
        <v>49.2</v>
      </c>
      <c r="M284" s="46">
        <v>90.7</v>
      </c>
      <c r="N284" s="36">
        <v>280</v>
      </c>
      <c r="O284" s="41">
        <v>42998.867893518516</v>
      </c>
    </row>
    <row r="285" spans="2:15" x14ac:dyDescent="0.25">
      <c r="B285" s="36" t="s">
        <v>3243</v>
      </c>
      <c r="C285" s="35" t="s">
        <v>3244</v>
      </c>
      <c r="D285" s="36" t="s">
        <v>3244</v>
      </c>
      <c r="E285" s="37">
        <v>1.1673E-4</v>
      </c>
      <c r="F285" s="38">
        <v>0.46324700000000002</v>
      </c>
      <c r="G285" s="39">
        <v>8709.7099999999991</v>
      </c>
      <c r="H285" s="39">
        <v>4012069</v>
      </c>
      <c r="I285" s="40">
        <v>8660756</v>
      </c>
      <c r="J285" s="40">
        <v>22591432</v>
      </c>
      <c r="K285" s="46">
        <v>-14.27</v>
      </c>
      <c r="L285" s="46">
        <v>4.0199999999999996</v>
      </c>
      <c r="M285" s="46">
        <v>68.5</v>
      </c>
      <c r="N285" s="36">
        <v>281</v>
      </c>
      <c r="O285" s="41">
        <v>42998.864548611113</v>
      </c>
    </row>
    <row r="286" spans="2:15" x14ac:dyDescent="0.25">
      <c r="B286" s="36" t="s">
        <v>2375</v>
      </c>
      <c r="C286" s="35" t="s">
        <v>266</v>
      </c>
      <c r="D286" s="36" t="s">
        <v>1330</v>
      </c>
      <c r="E286" s="37">
        <v>3.1006000000000002E-4</v>
      </c>
      <c r="F286" s="38">
        <v>1.2313799999999999</v>
      </c>
      <c r="G286" s="39">
        <v>403106</v>
      </c>
      <c r="H286" s="39">
        <v>3962134</v>
      </c>
      <c r="I286" s="40">
        <v>3217637</v>
      </c>
      <c r="J286" s="40">
        <v>3217637</v>
      </c>
      <c r="K286" s="46">
        <v>-2.4700000000000002</v>
      </c>
      <c r="L286" s="46">
        <v>15.68</v>
      </c>
      <c r="M286" s="46">
        <v>11.33</v>
      </c>
      <c r="N286" s="36">
        <v>282</v>
      </c>
      <c r="O286" s="41">
        <v>42998.867731481485</v>
      </c>
    </row>
    <row r="287" spans="2:15" x14ac:dyDescent="0.25">
      <c r="B287" s="36" t="s">
        <v>2366</v>
      </c>
      <c r="C287" s="35" t="s">
        <v>264</v>
      </c>
      <c r="D287" s="36" t="s">
        <v>1328</v>
      </c>
      <c r="E287" s="37">
        <v>5.4124000000000002E-4</v>
      </c>
      <c r="F287" s="38">
        <v>2.1495000000000002</v>
      </c>
      <c r="G287" s="39">
        <v>191589</v>
      </c>
      <c r="H287" s="39">
        <v>3874734</v>
      </c>
      <c r="I287" s="40">
        <v>1802621</v>
      </c>
      <c r="J287" s="40">
        <v>4556525</v>
      </c>
      <c r="K287" s="46">
        <v>2.0299999999999998</v>
      </c>
      <c r="L287" s="46">
        <v>16.71</v>
      </c>
      <c r="M287" s="46">
        <v>8.8699999999999992</v>
      </c>
      <c r="N287" s="36">
        <v>283</v>
      </c>
      <c r="O287" s="41">
        <v>42998.86787037037</v>
      </c>
    </row>
    <row r="288" spans="2:15" x14ac:dyDescent="0.25">
      <c r="B288" s="36" t="s">
        <v>2321</v>
      </c>
      <c r="C288" s="35" t="s">
        <v>214</v>
      </c>
      <c r="D288" s="36" t="s">
        <v>1279</v>
      </c>
      <c r="E288" s="37">
        <v>4.8300000000000003E-6</v>
      </c>
      <c r="F288" s="38">
        <v>1.91665E-2</v>
      </c>
      <c r="G288" s="39">
        <v>2922.67</v>
      </c>
      <c r="H288" s="39">
        <v>3845572</v>
      </c>
      <c r="I288" s="40">
        <v>200640264</v>
      </c>
      <c r="J288" s="40">
        <v>200640264</v>
      </c>
      <c r="K288" s="46">
        <v>-5.19</v>
      </c>
      <c r="L288" s="46">
        <v>-18.21</v>
      </c>
      <c r="M288" s="46">
        <v>-18.489999999999998</v>
      </c>
      <c r="N288" s="36">
        <v>284</v>
      </c>
      <c r="O288" s="41">
        <v>42998.867719907408</v>
      </c>
    </row>
    <row r="289" spans="2:15" x14ac:dyDescent="0.25">
      <c r="B289" s="36" t="s">
        <v>2377</v>
      </c>
      <c r="C289" s="35" t="s">
        <v>274</v>
      </c>
      <c r="D289" s="36" t="s">
        <v>1338</v>
      </c>
      <c r="E289" s="37">
        <v>6.1999999999999999E-7</v>
      </c>
      <c r="F289" s="38">
        <v>2.4636900000000002E-3</v>
      </c>
      <c r="G289" s="39">
        <v>35569</v>
      </c>
      <c r="H289" s="39">
        <v>3730861</v>
      </c>
      <c r="I289" s="40">
        <v>1514338750</v>
      </c>
      <c r="J289" s="40">
        <v>1514338750</v>
      </c>
      <c r="K289" s="46">
        <v>-0.04</v>
      </c>
      <c r="L289" s="46">
        <v>0.74</v>
      </c>
      <c r="M289" s="46">
        <v>12.05</v>
      </c>
      <c r="N289" s="36">
        <v>285</v>
      </c>
      <c r="O289" s="41">
        <v>42998.867465277777</v>
      </c>
    </row>
    <row r="290" spans="2:15" x14ac:dyDescent="0.25">
      <c r="B290" s="36" t="s">
        <v>2455</v>
      </c>
      <c r="C290" s="35" t="s">
        <v>362</v>
      </c>
      <c r="D290" s="36" t="s">
        <v>1423</v>
      </c>
      <c r="E290" s="37">
        <v>7.7200000000000006E-5</v>
      </c>
      <c r="F290" s="38">
        <v>0.30658800000000003</v>
      </c>
      <c r="G290" s="39">
        <v>184096</v>
      </c>
      <c r="H290" s="39">
        <v>3708149</v>
      </c>
      <c r="I290" s="40">
        <v>12094892</v>
      </c>
      <c r="J290" s="40">
        <v>12094892</v>
      </c>
      <c r="K290" s="46">
        <v>7.0000000000000007E-2</v>
      </c>
      <c r="L290" s="46">
        <v>-11.18</v>
      </c>
      <c r="M290" s="46">
        <v>14.2</v>
      </c>
      <c r="N290" s="36">
        <v>286</v>
      </c>
      <c r="O290" s="41">
        <v>42998.867893518516</v>
      </c>
    </row>
    <row r="291" spans="2:15" x14ac:dyDescent="0.25">
      <c r="B291" s="36" t="s">
        <v>2374</v>
      </c>
      <c r="C291" s="35" t="s">
        <v>279</v>
      </c>
      <c r="D291" s="36" t="s">
        <v>1127</v>
      </c>
      <c r="E291" s="37">
        <v>1.3511999999999999E-4</v>
      </c>
      <c r="F291" s="42">
        <v>0.53661999999999999</v>
      </c>
      <c r="G291" s="39">
        <v>7241</v>
      </c>
      <c r="H291" s="39">
        <v>3629751</v>
      </c>
      <c r="I291" s="40">
        <v>6764100</v>
      </c>
      <c r="J291" s="40">
        <v>6764100</v>
      </c>
      <c r="K291" s="46">
        <v>2</v>
      </c>
      <c r="L291" s="46">
        <v>10.44</v>
      </c>
      <c r="M291" s="46">
        <v>-0.66</v>
      </c>
      <c r="N291" s="36">
        <v>287</v>
      </c>
      <c r="O291" s="41">
        <v>42998.867523148147</v>
      </c>
    </row>
    <row r="292" spans="2:15" x14ac:dyDescent="0.25">
      <c r="B292" s="36" t="s">
        <v>2423</v>
      </c>
      <c r="C292" s="35" t="s">
        <v>310</v>
      </c>
      <c r="D292" s="36" t="s">
        <v>1372</v>
      </c>
      <c r="E292" s="37">
        <v>5.9679999999999998E-5</v>
      </c>
      <c r="F292" s="38">
        <v>0.237009</v>
      </c>
      <c r="G292" s="39">
        <v>688890</v>
      </c>
      <c r="H292" s="39">
        <v>3599908</v>
      </c>
      <c r="I292" s="40">
        <v>15188910</v>
      </c>
      <c r="J292" s="40">
        <v>15188910</v>
      </c>
      <c r="K292" s="46">
        <v>0.6</v>
      </c>
      <c r="L292" s="46">
        <v>4.72</v>
      </c>
      <c r="M292" s="46">
        <v>60.39</v>
      </c>
      <c r="N292" s="36">
        <v>288</v>
      </c>
      <c r="O292" s="41">
        <v>42998.867719907408</v>
      </c>
    </row>
    <row r="293" spans="2:15" x14ac:dyDescent="0.25">
      <c r="B293" s="36" t="s">
        <v>2404</v>
      </c>
      <c r="C293" s="35" t="s">
        <v>301</v>
      </c>
      <c r="D293" s="36" t="s">
        <v>1363</v>
      </c>
      <c r="E293" s="37">
        <v>7.8399999999999995E-6</v>
      </c>
      <c r="F293" s="38">
        <v>3.11343E-2</v>
      </c>
      <c r="G293" s="39">
        <v>111210</v>
      </c>
      <c r="H293" s="39">
        <v>3458574</v>
      </c>
      <c r="I293" s="40">
        <v>111085648</v>
      </c>
      <c r="J293" s="40">
        <v>111085648</v>
      </c>
      <c r="K293" s="46">
        <v>-0.82</v>
      </c>
      <c r="L293" s="46">
        <v>7.04</v>
      </c>
      <c r="M293" s="46">
        <v>-26.8</v>
      </c>
      <c r="N293" s="36">
        <v>289</v>
      </c>
      <c r="O293" s="41">
        <v>42998.8674537037</v>
      </c>
    </row>
    <row r="294" spans="2:15" x14ac:dyDescent="0.25">
      <c r="B294" s="36" t="s">
        <v>2417</v>
      </c>
      <c r="C294" s="35" t="s">
        <v>308</v>
      </c>
      <c r="D294" s="36" t="s">
        <v>1370</v>
      </c>
      <c r="E294" s="37">
        <v>8.67E-6</v>
      </c>
      <c r="F294" s="38">
        <v>3.4434399999999997E-2</v>
      </c>
      <c r="G294" s="39">
        <v>1340.7</v>
      </c>
      <c r="H294" s="39">
        <v>3450858</v>
      </c>
      <c r="I294" s="40">
        <v>100215429</v>
      </c>
      <c r="J294" s="40">
        <v>110215429</v>
      </c>
      <c r="K294" s="46">
        <v>-0.05</v>
      </c>
      <c r="L294" s="46">
        <v>0.47</v>
      </c>
      <c r="M294" s="46">
        <v>7.36</v>
      </c>
      <c r="N294" s="36">
        <v>290</v>
      </c>
      <c r="O294" s="41">
        <v>42998.867893518516</v>
      </c>
    </row>
    <row r="295" spans="2:15" x14ac:dyDescent="0.25">
      <c r="B295" s="36" t="s">
        <v>2398</v>
      </c>
      <c r="C295" s="35" t="s">
        <v>297</v>
      </c>
      <c r="D295" s="36" t="s">
        <v>1359</v>
      </c>
      <c r="E295" s="37">
        <v>2.4928999999999999E-4</v>
      </c>
      <c r="F295" s="38">
        <v>0.99005200000000004</v>
      </c>
      <c r="G295" s="39">
        <v>317635</v>
      </c>
      <c r="H295" s="39">
        <v>3424068</v>
      </c>
      <c r="I295" s="40">
        <v>3458473</v>
      </c>
      <c r="J295" s="40">
        <v>3458473</v>
      </c>
      <c r="K295" s="46">
        <v>0.39</v>
      </c>
      <c r="L295" s="46">
        <v>-5.35</v>
      </c>
      <c r="M295" s="46">
        <v>3.6</v>
      </c>
      <c r="N295" s="36">
        <v>291</v>
      </c>
      <c r="O295" s="41">
        <v>42998.867731481485</v>
      </c>
    </row>
    <row r="296" spans="2:15" x14ac:dyDescent="0.25">
      <c r="B296" s="36" t="s">
        <v>2314</v>
      </c>
      <c r="C296" s="35" t="s">
        <v>209</v>
      </c>
      <c r="D296" s="36" t="s">
        <v>1274</v>
      </c>
      <c r="E296" s="37">
        <v>1.685E-5</v>
      </c>
      <c r="F296" s="38">
        <v>6.6910300000000006E-2</v>
      </c>
      <c r="G296" s="39">
        <v>5581.3</v>
      </c>
      <c r="H296" s="39">
        <v>3345515</v>
      </c>
      <c r="I296" s="40">
        <v>50000000</v>
      </c>
      <c r="J296" s="40">
        <v>50000000</v>
      </c>
      <c r="K296" s="46">
        <v>-1.81</v>
      </c>
      <c r="L296" s="46">
        <v>12.11</v>
      </c>
      <c r="M296" s="46">
        <v>15.12</v>
      </c>
      <c r="N296" s="36">
        <v>292</v>
      </c>
      <c r="O296" s="41">
        <v>42998.867986111109</v>
      </c>
    </row>
    <row r="297" spans="2:15" x14ac:dyDescent="0.25">
      <c r="B297" s="36" t="s">
        <v>2409</v>
      </c>
      <c r="C297" s="35" t="s">
        <v>316</v>
      </c>
      <c r="D297" s="36" t="s">
        <v>1378</v>
      </c>
      <c r="E297" s="37">
        <v>3.1E-7</v>
      </c>
      <c r="F297" s="38">
        <v>1.2311399999999999E-3</v>
      </c>
      <c r="G297" s="39">
        <v>3582.84</v>
      </c>
      <c r="H297" s="39">
        <v>3326871</v>
      </c>
      <c r="I297" s="40">
        <v>2702268334</v>
      </c>
      <c r="J297" s="40">
        <v>3159457078</v>
      </c>
      <c r="K297" s="46">
        <v>-0.05</v>
      </c>
      <c r="L297" s="46">
        <v>-2.99</v>
      </c>
      <c r="M297" s="46">
        <v>2.3199999999999998</v>
      </c>
      <c r="N297" s="36">
        <v>293</v>
      </c>
      <c r="O297" s="41">
        <v>42998.867638888885</v>
      </c>
    </row>
    <row r="298" spans="2:15" x14ac:dyDescent="0.25">
      <c r="B298" s="36" t="s">
        <v>2448</v>
      </c>
      <c r="C298" s="35" t="s">
        <v>345</v>
      </c>
      <c r="D298" s="36" t="s">
        <v>1406</v>
      </c>
      <c r="E298" s="37">
        <v>1.8510000000000001E-5</v>
      </c>
      <c r="F298" s="38">
        <v>7.3493799999999998E-2</v>
      </c>
      <c r="G298" s="39">
        <v>11016400</v>
      </c>
      <c r="H298" s="39">
        <v>3313085</v>
      </c>
      <c r="I298" s="40">
        <v>45079785</v>
      </c>
      <c r="J298" s="40">
        <v>70782220</v>
      </c>
      <c r="K298" s="46">
        <v>-15.14</v>
      </c>
      <c r="L298" s="46">
        <v>106.44</v>
      </c>
      <c r="M298" s="46">
        <v>131.49</v>
      </c>
      <c r="N298" s="36">
        <v>294</v>
      </c>
      <c r="O298" s="41">
        <v>42998.867523148147</v>
      </c>
    </row>
    <row r="299" spans="2:15" x14ac:dyDescent="0.25">
      <c r="B299" s="36" t="s">
        <v>2382</v>
      </c>
      <c r="C299" s="35" t="s">
        <v>280</v>
      </c>
      <c r="D299" s="36" t="s">
        <v>1343</v>
      </c>
      <c r="E299" s="37">
        <v>1.3198999999999999E-4</v>
      </c>
      <c r="F299" s="38">
        <v>0.52419499999999997</v>
      </c>
      <c r="G299" s="39">
        <v>74843.600000000006</v>
      </c>
      <c r="H299" s="39">
        <v>3285698</v>
      </c>
      <c r="I299" s="40">
        <v>6268082</v>
      </c>
      <c r="J299" s="40">
        <v>6268082</v>
      </c>
      <c r="K299" s="46">
        <v>-2.71</v>
      </c>
      <c r="L299" s="46">
        <v>1.45</v>
      </c>
      <c r="M299" s="46">
        <v>1.81</v>
      </c>
      <c r="N299" s="36">
        <v>295</v>
      </c>
      <c r="O299" s="41">
        <v>42998.867719907408</v>
      </c>
    </row>
    <row r="300" spans="2:15" x14ac:dyDescent="0.25">
      <c r="B300" s="36" t="s">
        <v>2353</v>
      </c>
      <c r="C300" s="35" t="s">
        <v>269</v>
      </c>
      <c r="D300" s="36" t="s">
        <v>1333</v>
      </c>
      <c r="E300" s="37">
        <v>4.5519000000000001E-4</v>
      </c>
      <c r="F300" s="38">
        <v>1.80776</v>
      </c>
      <c r="G300" s="39">
        <v>144539</v>
      </c>
      <c r="H300" s="39">
        <v>3271684</v>
      </c>
      <c r="I300" s="40">
        <v>1809800</v>
      </c>
      <c r="J300" s="40">
        <v>1809800</v>
      </c>
      <c r="K300" s="46">
        <v>-1.47</v>
      </c>
      <c r="L300" s="46">
        <v>-5.38</v>
      </c>
      <c r="M300" s="46">
        <v>10.95</v>
      </c>
      <c r="N300" s="36">
        <v>296</v>
      </c>
      <c r="O300" s="41">
        <v>42998.867974537039</v>
      </c>
    </row>
    <row r="301" spans="2:15" x14ac:dyDescent="0.25">
      <c r="B301" s="36" t="s">
        <v>2387</v>
      </c>
      <c r="C301" s="35" t="s">
        <v>289</v>
      </c>
      <c r="D301" s="36" t="s">
        <v>1352</v>
      </c>
      <c r="E301" s="37">
        <v>4.0000000000000001E-8</v>
      </c>
      <c r="F301" s="38">
        <v>1.5885699999999999E-4</v>
      </c>
      <c r="G301" s="39">
        <v>1309.1300000000001</v>
      </c>
      <c r="H301" s="39">
        <v>3270008</v>
      </c>
      <c r="I301" s="40">
        <v>20584598112</v>
      </c>
      <c r="J301" s="40">
        <v>20584598112</v>
      </c>
      <c r="K301" s="46">
        <v>4.29</v>
      </c>
      <c r="L301" s="46">
        <v>3.31</v>
      </c>
      <c r="M301" s="46">
        <v>-11.03</v>
      </c>
      <c r="N301" s="36">
        <v>297</v>
      </c>
      <c r="O301" s="41">
        <v>42998.867708333331</v>
      </c>
    </row>
    <row r="302" spans="2:15" x14ac:dyDescent="0.25">
      <c r="B302" s="36" t="s">
        <v>2257</v>
      </c>
      <c r="C302" s="35" t="s">
        <v>163</v>
      </c>
      <c r="D302" s="36" t="s">
        <v>1230</v>
      </c>
      <c r="E302" s="37">
        <v>2.6771E-4</v>
      </c>
      <c r="F302" s="38">
        <v>1.0631999999999999</v>
      </c>
      <c r="G302" s="39">
        <v>790604</v>
      </c>
      <c r="H302" s="39">
        <v>3211421</v>
      </c>
      <c r="I302" s="40">
        <v>3020524</v>
      </c>
      <c r="J302" s="40">
        <v>3020524</v>
      </c>
      <c r="K302" s="46">
        <v>0.28999999999999998</v>
      </c>
      <c r="L302" s="46">
        <v>-1.39</v>
      </c>
      <c r="M302" s="46">
        <v>-69.52</v>
      </c>
      <c r="N302" s="36">
        <v>298</v>
      </c>
      <c r="O302" s="41">
        <v>42998.867430555554</v>
      </c>
    </row>
    <row r="303" spans="2:15" x14ac:dyDescent="0.25">
      <c r="B303" s="36" t="s">
        <v>2405</v>
      </c>
      <c r="C303" s="35" t="s">
        <v>306</v>
      </c>
      <c r="D303" s="36" t="s">
        <v>1368</v>
      </c>
      <c r="E303" s="37">
        <v>1.572E-4</v>
      </c>
      <c r="F303" s="38">
        <v>0.62429199999999996</v>
      </c>
      <c r="G303" s="39">
        <v>90779.199999999997</v>
      </c>
      <c r="H303" s="39">
        <v>3106142</v>
      </c>
      <c r="I303" s="40">
        <v>4975463</v>
      </c>
      <c r="J303" s="40">
        <v>4975463</v>
      </c>
      <c r="K303" s="46">
        <v>-1.77</v>
      </c>
      <c r="L303" s="46">
        <v>1.1299999999999999</v>
      </c>
      <c r="M303" s="46">
        <v>15.16</v>
      </c>
      <c r="N303" s="36">
        <v>299</v>
      </c>
      <c r="O303" s="41">
        <v>42998.867881944447</v>
      </c>
    </row>
    <row r="304" spans="2:15" x14ac:dyDescent="0.25">
      <c r="B304" s="36" t="s">
        <v>2401</v>
      </c>
      <c r="C304" s="35" t="s">
        <v>299</v>
      </c>
      <c r="D304" s="36" t="s">
        <v>1361</v>
      </c>
      <c r="E304" s="37">
        <v>4.3000000000000002E-5</v>
      </c>
      <c r="F304" s="38">
        <v>0.17077000000000001</v>
      </c>
      <c r="G304" s="39">
        <v>185177</v>
      </c>
      <c r="H304" s="39">
        <v>3098124</v>
      </c>
      <c r="I304" s="40">
        <v>18142083</v>
      </c>
      <c r="J304" s="40">
        <v>18142083</v>
      </c>
      <c r="K304" s="46">
        <v>-3.54</v>
      </c>
      <c r="L304" s="46">
        <v>12.52</v>
      </c>
      <c r="M304" s="46">
        <v>22.74</v>
      </c>
      <c r="N304" s="36">
        <v>300</v>
      </c>
      <c r="O304" s="41">
        <v>42998.867754629631</v>
      </c>
    </row>
    <row r="305" spans="2:15" x14ac:dyDescent="0.25">
      <c r="B305" s="36" t="s">
        <v>3186</v>
      </c>
      <c r="C305" s="35" t="s">
        <v>3187</v>
      </c>
      <c r="D305" s="36" t="s">
        <v>3188</v>
      </c>
      <c r="E305" s="37">
        <v>8.6655E-4</v>
      </c>
      <c r="F305" s="38">
        <v>3.43893</v>
      </c>
      <c r="G305" s="39">
        <v>63535.199999999997</v>
      </c>
      <c r="H305" s="39">
        <v>3095037</v>
      </c>
      <c r="I305" s="40">
        <v>900000</v>
      </c>
      <c r="J305" s="40">
        <v>6300000</v>
      </c>
      <c r="K305" s="46">
        <v>17</v>
      </c>
      <c r="L305" s="46">
        <v>44.04</v>
      </c>
      <c r="M305" s="46">
        <v>44.38</v>
      </c>
      <c r="N305" s="36">
        <v>301</v>
      </c>
      <c r="O305" s="41">
        <v>42998.864548611113</v>
      </c>
    </row>
    <row r="306" spans="2:15" x14ac:dyDescent="0.25">
      <c r="B306" s="36" t="s">
        <v>2427</v>
      </c>
      <c r="C306" s="35" t="s">
        <v>315</v>
      </c>
      <c r="D306" s="36" t="s">
        <v>1377</v>
      </c>
      <c r="E306" s="37">
        <v>2.4579999999999998E-5</v>
      </c>
      <c r="F306" s="38">
        <v>9.7617999999999996E-2</v>
      </c>
      <c r="G306" s="39">
        <v>11519.4</v>
      </c>
      <c r="H306" s="39">
        <v>3018784</v>
      </c>
      <c r="I306" s="40">
        <v>30924461</v>
      </c>
      <c r="J306" s="40">
        <v>30924461</v>
      </c>
      <c r="K306" s="46">
        <v>-3.42</v>
      </c>
      <c r="L306" s="46">
        <v>-1.03</v>
      </c>
      <c r="M306" s="46">
        <v>-27.67</v>
      </c>
      <c r="N306" s="36">
        <v>302</v>
      </c>
      <c r="O306" s="41">
        <v>42998.867592592593</v>
      </c>
    </row>
    <row r="307" spans="2:15" x14ac:dyDescent="0.25">
      <c r="B307" s="36" t="s">
        <v>2443</v>
      </c>
      <c r="C307" s="35" t="s">
        <v>342</v>
      </c>
      <c r="D307" s="36" t="s">
        <v>1403</v>
      </c>
      <c r="E307" s="37">
        <v>6.0970000000000001E-5</v>
      </c>
      <c r="F307" s="38">
        <v>0.242119</v>
      </c>
      <c r="G307" s="39">
        <v>7008.62</v>
      </c>
      <c r="H307" s="39">
        <v>3013921</v>
      </c>
      <c r="I307" s="40">
        <v>12448096</v>
      </c>
      <c r="J307" s="40">
        <v>12448096</v>
      </c>
      <c r="K307" s="46">
        <v>0.5</v>
      </c>
      <c r="L307" s="46">
        <v>46.08</v>
      </c>
      <c r="M307" s="46">
        <v>40.659999999999997</v>
      </c>
      <c r="N307" s="36">
        <v>303</v>
      </c>
      <c r="O307" s="41">
        <v>42998.86791666667</v>
      </c>
    </row>
    <row r="308" spans="2:15" x14ac:dyDescent="0.25">
      <c r="B308" s="36" t="s">
        <v>2424</v>
      </c>
      <c r="C308" s="35" t="s">
        <v>325</v>
      </c>
      <c r="D308" s="36" t="s">
        <v>1386</v>
      </c>
      <c r="E308" s="37">
        <v>3.3400000000000002E-6</v>
      </c>
      <c r="F308" s="38">
        <v>1.32646E-2</v>
      </c>
      <c r="G308" s="39">
        <v>96021.7</v>
      </c>
      <c r="H308" s="39">
        <v>3010776</v>
      </c>
      <c r="I308" s="40">
        <v>226978255</v>
      </c>
      <c r="J308" s="40">
        <v>226978255</v>
      </c>
      <c r="K308" s="46">
        <v>-2.4300000000000002</v>
      </c>
      <c r="L308" s="46">
        <v>-0.13</v>
      </c>
      <c r="M308" s="46">
        <v>-38.69</v>
      </c>
      <c r="N308" s="36">
        <v>304</v>
      </c>
      <c r="O308" s="41">
        <v>42998.8675</v>
      </c>
    </row>
    <row r="309" spans="2:15" x14ac:dyDescent="0.25">
      <c r="B309" s="36" t="s">
        <v>2376</v>
      </c>
      <c r="C309" s="35" t="s">
        <v>271</v>
      </c>
      <c r="D309" s="36" t="s">
        <v>1335</v>
      </c>
      <c r="E309" s="37">
        <v>3.1040000000000001E-4</v>
      </c>
      <c r="F309" s="42">
        <v>1.2327300000000001</v>
      </c>
      <c r="G309" s="39">
        <v>565.47400000000005</v>
      </c>
      <c r="H309" s="39">
        <v>2976504</v>
      </c>
      <c r="I309" s="40">
        <v>2414562</v>
      </c>
      <c r="J309" s="40">
        <v>2414562</v>
      </c>
      <c r="K309" s="46">
        <v>-0.12</v>
      </c>
      <c r="L309" s="46">
        <v>1.45</v>
      </c>
      <c r="M309" s="46">
        <v>-16.37</v>
      </c>
      <c r="N309" s="36">
        <v>305</v>
      </c>
      <c r="O309" s="41">
        <v>42998.867546296293</v>
      </c>
    </row>
    <row r="310" spans="2:15" x14ac:dyDescent="0.25">
      <c r="B310" s="36" t="s">
        <v>2960</v>
      </c>
      <c r="C310" s="35" t="s">
        <v>851</v>
      </c>
      <c r="D310" s="36" t="s">
        <v>1889</v>
      </c>
      <c r="E310" s="37">
        <v>5.4700000000000001E-6</v>
      </c>
      <c r="F310" s="38">
        <v>2.17165E-2</v>
      </c>
      <c r="G310" s="39">
        <v>13036.1</v>
      </c>
      <c r="H310" s="39">
        <v>2973792</v>
      </c>
      <c r="I310" s="40">
        <v>136936977</v>
      </c>
      <c r="J310" s="40">
        <v>249308531</v>
      </c>
      <c r="K310" s="46">
        <v>-0.22</v>
      </c>
      <c r="L310" s="46">
        <v>-4.93</v>
      </c>
      <c r="M310" s="46">
        <v>-23.65</v>
      </c>
      <c r="N310" s="36">
        <v>306</v>
      </c>
      <c r="O310" s="41">
        <v>42998.864525462966</v>
      </c>
    </row>
    <row r="311" spans="2:15" x14ac:dyDescent="0.25">
      <c r="B311" s="36" t="s">
        <v>2352</v>
      </c>
      <c r="C311" s="35" t="s">
        <v>262</v>
      </c>
      <c r="D311" s="36" t="s">
        <v>1326</v>
      </c>
      <c r="E311" s="37">
        <v>2.7549999999999999E-5</v>
      </c>
      <c r="F311" s="38">
        <v>0.109417</v>
      </c>
      <c r="G311" s="39">
        <v>17642.099999999999</v>
      </c>
      <c r="H311" s="39">
        <v>2906956</v>
      </c>
      <c r="I311" s="40">
        <v>26567684</v>
      </c>
      <c r="J311" s="40">
        <v>64106483</v>
      </c>
      <c r="K311" s="46">
        <v>0.31</v>
      </c>
      <c r="L311" s="46">
        <v>4.16</v>
      </c>
      <c r="M311" s="46">
        <v>20.059999999999999</v>
      </c>
      <c r="N311" s="36">
        <v>307</v>
      </c>
      <c r="O311" s="41">
        <v>42998.867835648147</v>
      </c>
    </row>
    <row r="312" spans="2:15" x14ac:dyDescent="0.25">
      <c r="B312" s="36" t="s">
        <v>2403</v>
      </c>
      <c r="C312" s="35" t="s">
        <v>296</v>
      </c>
      <c r="D312" s="36" t="s">
        <v>296</v>
      </c>
      <c r="E312" s="37">
        <v>1.37E-6</v>
      </c>
      <c r="F312" s="38">
        <v>5.4408399999999997E-3</v>
      </c>
      <c r="G312" s="39">
        <v>36696.6</v>
      </c>
      <c r="H312" s="39">
        <v>2809937</v>
      </c>
      <c r="I312" s="40">
        <v>516452776</v>
      </c>
      <c r="J312" s="40">
        <v>516452776</v>
      </c>
      <c r="K312" s="46">
        <v>2.31</v>
      </c>
      <c r="L312" s="46">
        <v>6.72</v>
      </c>
      <c r="M312" s="46">
        <v>11.25</v>
      </c>
      <c r="N312" s="36">
        <v>308</v>
      </c>
      <c r="O312" s="41">
        <v>42998.867696759262</v>
      </c>
    </row>
    <row r="313" spans="2:15" x14ac:dyDescent="0.25">
      <c r="B313" s="36" t="s">
        <v>2406</v>
      </c>
      <c r="C313" s="35" t="s">
        <v>311</v>
      </c>
      <c r="D313" s="36" t="s">
        <v>1373</v>
      </c>
      <c r="E313" s="37">
        <v>2E-8</v>
      </c>
      <c r="F313" s="38">
        <v>7.5695499999999994E-5</v>
      </c>
      <c r="G313" s="39">
        <v>2490.04</v>
      </c>
      <c r="H313" s="39">
        <v>2798549</v>
      </c>
      <c r="I313" s="40">
        <v>36971141340</v>
      </c>
      <c r="J313" s="40">
        <v>36971141340</v>
      </c>
      <c r="K313" s="46">
        <v>59.11</v>
      </c>
      <c r="L313" s="46">
        <v>17.04</v>
      </c>
      <c r="M313" s="46">
        <v>-7.51</v>
      </c>
      <c r="N313" s="36">
        <v>309</v>
      </c>
      <c r="O313" s="41">
        <v>42998.8674537037</v>
      </c>
    </row>
    <row r="314" spans="2:15" x14ac:dyDescent="0.25">
      <c r="B314" s="36" t="s">
        <v>2420</v>
      </c>
      <c r="C314" s="35" t="s">
        <v>324</v>
      </c>
      <c r="D314" s="36" t="s">
        <v>1385</v>
      </c>
      <c r="E314" s="37">
        <v>5.113E-5</v>
      </c>
      <c r="F314" s="38">
        <v>0.20305899999999999</v>
      </c>
      <c r="G314" s="39">
        <v>51176.1</v>
      </c>
      <c r="H314" s="39">
        <v>2705010</v>
      </c>
      <c r="I314" s="40">
        <v>13321301</v>
      </c>
      <c r="J314" s="40">
        <v>13321301</v>
      </c>
      <c r="K314" s="46">
        <v>-0.01</v>
      </c>
      <c r="L314" s="46">
        <v>5.69</v>
      </c>
      <c r="M314" s="46">
        <v>-0.65</v>
      </c>
      <c r="N314" s="36">
        <v>310</v>
      </c>
      <c r="O314" s="41">
        <v>42998.867650462962</v>
      </c>
    </row>
    <row r="315" spans="2:15" x14ac:dyDescent="0.25">
      <c r="B315" s="36" t="s">
        <v>2425</v>
      </c>
      <c r="C315" s="35" t="s">
        <v>332</v>
      </c>
      <c r="D315" s="36" t="s">
        <v>1393</v>
      </c>
      <c r="E315" s="37">
        <v>8.8100000000000004E-6</v>
      </c>
      <c r="F315" s="38">
        <v>3.4989100000000002E-2</v>
      </c>
      <c r="G315" s="39">
        <v>219519</v>
      </c>
      <c r="H315" s="39">
        <v>2702249</v>
      </c>
      <c r="I315" s="40">
        <v>77231176</v>
      </c>
      <c r="J315" s="40">
        <v>91859176</v>
      </c>
      <c r="K315" s="46">
        <v>2.66</v>
      </c>
      <c r="L315" s="46">
        <v>14.17</v>
      </c>
      <c r="M315" s="46">
        <v>-2.2599999999999998</v>
      </c>
      <c r="N315" s="36">
        <v>311</v>
      </c>
      <c r="O315" s="41">
        <v>42998.8675</v>
      </c>
    </row>
    <row r="316" spans="2:15" x14ac:dyDescent="0.25">
      <c r="B316" s="36" t="s">
        <v>2372</v>
      </c>
      <c r="C316" s="35" t="s">
        <v>278</v>
      </c>
      <c r="D316" s="36" t="s">
        <v>1342</v>
      </c>
      <c r="E316" s="37">
        <v>2.9999999999999997E-8</v>
      </c>
      <c r="F316" s="38">
        <v>1.1914299999999999E-4</v>
      </c>
      <c r="G316" s="39">
        <v>571.69299999999998</v>
      </c>
      <c r="H316" s="39">
        <v>2691663</v>
      </c>
      <c r="I316" s="40">
        <v>22591865128</v>
      </c>
      <c r="J316" s="40">
        <v>22591865128</v>
      </c>
      <c r="K316" s="46">
        <v>-0.18</v>
      </c>
      <c r="L316" s="46">
        <v>-8.2200000000000006</v>
      </c>
      <c r="M316" s="46">
        <v>-22.18</v>
      </c>
      <c r="N316" s="36">
        <v>312</v>
      </c>
      <c r="O316" s="41">
        <v>42998.86755787037</v>
      </c>
    </row>
    <row r="317" spans="2:15" x14ac:dyDescent="0.25">
      <c r="B317" s="36" t="s">
        <v>2311</v>
      </c>
      <c r="C317" s="35" t="s">
        <v>212</v>
      </c>
      <c r="D317" s="36" t="s">
        <v>1277</v>
      </c>
      <c r="E317" s="37">
        <v>3.2230000000000001E-5</v>
      </c>
      <c r="F317" s="38">
        <v>0.12800500000000001</v>
      </c>
      <c r="G317" s="39">
        <v>166946</v>
      </c>
      <c r="H317" s="39">
        <v>2645821</v>
      </c>
      <c r="I317" s="40">
        <v>20669670</v>
      </c>
      <c r="J317" s="40">
        <v>20669670</v>
      </c>
      <c r="K317" s="46">
        <v>-0.64</v>
      </c>
      <c r="L317" s="46">
        <v>-6.66</v>
      </c>
      <c r="M317" s="46">
        <v>-38</v>
      </c>
      <c r="N317" s="36">
        <v>313</v>
      </c>
      <c r="O317" s="41">
        <v>42998.867407407408</v>
      </c>
    </row>
    <row r="318" spans="2:15" x14ac:dyDescent="0.25">
      <c r="B318" s="36" t="s">
        <v>2395</v>
      </c>
      <c r="C318" s="35" t="s">
        <v>292</v>
      </c>
      <c r="D318" s="36" t="s">
        <v>1355</v>
      </c>
      <c r="E318" s="37">
        <v>4.2400000000000001E-5</v>
      </c>
      <c r="F318" s="38">
        <v>0.168406</v>
      </c>
      <c r="G318" s="39">
        <v>5002.7</v>
      </c>
      <c r="H318" s="39">
        <v>2621467</v>
      </c>
      <c r="I318" s="40">
        <v>15566350</v>
      </c>
      <c r="J318" s="40">
        <v>15566350</v>
      </c>
      <c r="K318" s="46">
        <v>-2.2599999999999998</v>
      </c>
      <c r="L318" s="46">
        <v>0.55000000000000004</v>
      </c>
      <c r="M318" s="46">
        <v>4.21</v>
      </c>
      <c r="N318" s="36">
        <v>314</v>
      </c>
      <c r="O318" s="41">
        <v>42998.867604166669</v>
      </c>
    </row>
    <row r="319" spans="2:15" x14ac:dyDescent="0.25">
      <c r="B319" s="36" t="s">
        <v>2414</v>
      </c>
      <c r="C319" s="35" t="s">
        <v>320</v>
      </c>
      <c r="D319" s="36" t="s">
        <v>1382</v>
      </c>
      <c r="E319" s="37">
        <v>3.9959999999999997E-5</v>
      </c>
      <c r="F319" s="38">
        <v>0.15870000000000001</v>
      </c>
      <c r="G319" s="39">
        <v>61511.199999999997</v>
      </c>
      <c r="H319" s="39">
        <v>2612011</v>
      </c>
      <c r="I319" s="40">
        <v>16458796</v>
      </c>
      <c r="J319" s="40">
        <v>16458796</v>
      </c>
      <c r="K319" s="46">
        <v>0.35</v>
      </c>
      <c r="L319" s="46">
        <v>7.0000000000000007E-2</v>
      </c>
      <c r="M319" s="46">
        <v>2.5</v>
      </c>
      <c r="N319" s="36">
        <v>315</v>
      </c>
      <c r="O319" s="41">
        <v>42998.867662037039</v>
      </c>
    </row>
    <row r="320" spans="2:15" x14ac:dyDescent="0.25">
      <c r="B320" s="36" t="s">
        <v>2410</v>
      </c>
      <c r="C320" s="35" t="s">
        <v>309</v>
      </c>
      <c r="D320" s="36" t="s">
        <v>1371</v>
      </c>
      <c r="E320" s="37">
        <v>3.0729999999999999E-5</v>
      </c>
      <c r="F320" s="38">
        <v>0.12202300000000001</v>
      </c>
      <c r="G320" s="39">
        <v>26525.7</v>
      </c>
      <c r="H320" s="39">
        <v>2599722</v>
      </c>
      <c r="I320" s="40">
        <v>21305180</v>
      </c>
      <c r="J320" s="40">
        <v>21305180</v>
      </c>
      <c r="K320" s="46">
        <v>1.59</v>
      </c>
      <c r="L320" s="46">
        <v>3.13</v>
      </c>
      <c r="M320" s="46">
        <v>0.49</v>
      </c>
      <c r="N320" s="36">
        <v>316</v>
      </c>
      <c r="O320" s="41">
        <v>42998.867407407408</v>
      </c>
    </row>
    <row r="321" spans="2:15" x14ac:dyDescent="0.25">
      <c r="B321" s="36" t="s">
        <v>2454</v>
      </c>
      <c r="C321" s="35" t="s">
        <v>354</v>
      </c>
      <c r="D321" s="36" t="s">
        <v>1415</v>
      </c>
      <c r="E321" s="37">
        <v>1.2639999999999999E-5</v>
      </c>
      <c r="F321" s="38">
        <v>5.0200300000000003E-2</v>
      </c>
      <c r="G321" s="39">
        <v>5414.15</v>
      </c>
      <c r="H321" s="39">
        <v>2579967</v>
      </c>
      <c r="I321" s="40">
        <v>51393468</v>
      </c>
      <c r="J321" s="40">
        <v>70856609</v>
      </c>
      <c r="K321" s="46">
        <v>10.31</v>
      </c>
      <c r="L321" s="46">
        <v>7.18</v>
      </c>
      <c r="M321" s="46">
        <v>68.81</v>
      </c>
      <c r="N321" s="36">
        <v>317</v>
      </c>
      <c r="O321" s="41">
        <v>42998.867997685185</v>
      </c>
    </row>
    <row r="322" spans="2:15" x14ac:dyDescent="0.25">
      <c r="B322" s="36" t="s">
        <v>2412</v>
      </c>
      <c r="C322" s="35" t="s">
        <v>313</v>
      </c>
      <c r="D322" s="36" t="s">
        <v>1375</v>
      </c>
      <c r="E322" s="37">
        <v>4.9961999999999999E-4</v>
      </c>
      <c r="F322" s="38">
        <v>1.9842</v>
      </c>
      <c r="G322" s="39">
        <v>29925</v>
      </c>
      <c r="H322" s="39">
        <v>2546536</v>
      </c>
      <c r="I322" s="40">
        <v>1283407</v>
      </c>
      <c r="J322" s="40">
        <v>1283407</v>
      </c>
      <c r="K322" s="46">
        <v>-0.59</v>
      </c>
      <c r="L322" s="46">
        <v>4.96</v>
      </c>
      <c r="M322" s="46">
        <v>6.36</v>
      </c>
      <c r="N322" s="36">
        <v>318</v>
      </c>
      <c r="O322" s="41">
        <v>42998.867754629631</v>
      </c>
    </row>
    <row r="323" spans="2:15" x14ac:dyDescent="0.25">
      <c r="B323" s="36" t="s">
        <v>2429</v>
      </c>
      <c r="C323" s="35" t="s">
        <v>330</v>
      </c>
      <c r="D323" s="36" t="s">
        <v>1391</v>
      </c>
      <c r="E323" s="37">
        <v>4.6331999999999998E-4</v>
      </c>
      <c r="F323" s="38">
        <v>1.8400300000000001</v>
      </c>
      <c r="G323" s="39">
        <v>3257.44</v>
      </c>
      <c r="H323" s="39">
        <v>2529368</v>
      </c>
      <c r="I323" s="40">
        <v>1374634</v>
      </c>
      <c r="J323" s="40">
        <v>1374634</v>
      </c>
      <c r="K323" s="46">
        <v>-0.11</v>
      </c>
      <c r="L323" s="46">
        <v>-5.19</v>
      </c>
      <c r="M323" s="46">
        <v>-14.52</v>
      </c>
      <c r="N323" s="36">
        <v>319</v>
      </c>
      <c r="O323" s="41">
        <v>42998.867638888885</v>
      </c>
    </row>
    <row r="324" spans="2:15" x14ac:dyDescent="0.25">
      <c r="B324" s="36" t="s">
        <v>2435</v>
      </c>
      <c r="C324" s="35" t="s">
        <v>335</v>
      </c>
      <c r="D324" s="36" t="s">
        <v>1396</v>
      </c>
      <c r="E324" s="37">
        <v>6.4999999999999997E-4</v>
      </c>
      <c r="F324" s="38">
        <v>2.5814300000000001</v>
      </c>
      <c r="G324" s="39">
        <v>22469.599999999999</v>
      </c>
      <c r="H324" s="39">
        <v>2478970</v>
      </c>
      <c r="I324" s="40">
        <v>960309</v>
      </c>
      <c r="J324" s="40">
        <v>50000000</v>
      </c>
      <c r="K324" s="46">
        <v>0.98</v>
      </c>
      <c r="L324" s="46">
        <v>2.4900000000000002</v>
      </c>
      <c r="M324" s="46">
        <v>33.270000000000003</v>
      </c>
      <c r="N324" s="36">
        <v>320</v>
      </c>
      <c r="O324" s="41">
        <v>42998.867858796293</v>
      </c>
    </row>
    <row r="325" spans="2:15" x14ac:dyDescent="0.25">
      <c r="B325" s="36" t="s">
        <v>2419</v>
      </c>
      <c r="C325" s="35" t="s">
        <v>321</v>
      </c>
      <c r="D325" s="36" t="s">
        <v>1383</v>
      </c>
      <c r="E325" s="37">
        <v>9.9999999999999995E-8</v>
      </c>
      <c r="F325" s="38">
        <v>3.9816100000000001E-4</v>
      </c>
      <c r="G325" s="39">
        <v>28525.3</v>
      </c>
      <c r="H325" s="39">
        <v>2390332</v>
      </c>
      <c r="I325" s="40">
        <v>6003429666</v>
      </c>
      <c r="J325" s="40">
        <v>6003429666</v>
      </c>
      <c r="K325" s="46">
        <v>0.02</v>
      </c>
      <c r="L325" s="46">
        <v>-2.0699999999999998</v>
      </c>
      <c r="M325" s="46">
        <v>-13.55</v>
      </c>
      <c r="N325" s="36">
        <v>321</v>
      </c>
      <c r="O325" s="41">
        <v>42998.867986111109</v>
      </c>
    </row>
    <row r="326" spans="2:15" x14ac:dyDescent="0.25">
      <c r="B326" s="36" t="s">
        <v>2466</v>
      </c>
      <c r="C326" s="35" t="s">
        <v>353</v>
      </c>
      <c r="D326" s="36" t="s">
        <v>1414</v>
      </c>
      <c r="E326" s="37">
        <v>1.02E-6</v>
      </c>
      <c r="F326" s="38">
        <v>4.0512899999999999E-3</v>
      </c>
      <c r="G326" s="39">
        <v>1652.11</v>
      </c>
      <c r="H326" s="39">
        <v>2328210</v>
      </c>
      <c r="I326" s="40">
        <v>574683675</v>
      </c>
      <c r="J326" s="40">
        <v>574683675</v>
      </c>
      <c r="K326" s="46">
        <v>-0.08</v>
      </c>
      <c r="L326" s="46">
        <v>-1.43</v>
      </c>
      <c r="M326" s="46">
        <v>0.78</v>
      </c>
      <c r="N326" s="36">
        <v>322</v>
      </c>
      <c r="O326" s="41">
        <v>42998.867476851854</v>
      </c>
    </row>
    <row r="327" spans="2:15" x14ac:dyDescent="0.25">
      <c r="B327" s="36" t="s">
        <v>2439</v>
      </c>
      <c r="C327" s="35" t="s">
        <v>336</v>
      </c>
      <c r="D327" s="36" t="s">
        <v>1397</v>
      </c>
      <c r="E327" s="37">
        <v>5.4150000000000002E-5</v>
      </c>
      <c r="F327" s="38">
        <v>0.21505299999999999</v>
      </c>
      <c r="G327" s="39">
        <v>540676</v>
      </c>
      <c r="H327" s="39">
        <v>2326006</v>
      </c>
      <c r="I327" s="40">
        <v>10815966</v>
      </c>
      <c r="J327" s="40">
        <v>10815966</v>
      </c>
      <c r="K327" s="46">
        <v>1.57</v>
      </c>
      <c r="L327" s="46">
        <v>9.09</v>
      </c>
      <c r="M327" s="46">
        <v>33.92</v>
      </c>
      <c r="N327" s="36">
        <v>323</v>
      </c>
      <c r="O327" s="41">
        <v>42998.867534722223</v>
      </c>
    </row>
    <row r="328" spans="2:15" x14ac:dyDescent="0.25">
      <c r="B328" s="36" t="s">
        <v>2388</v>
      </c>
      <c r="C328" s="35" t="s">
        <v>285</v>
      </c>
      <c r="D328" s="36" t="s">
        <v>1348</v>
      </c>
      <c r="E328" s="37">
        <v>3.4999999999999997E-5</v>
      </c>
      <c r="F328" s="38">
        <v>0.13900000000000001</v>
      </c>
      <c r="G328" s="39">
        <v>13518.5</v>
      </c>
      <c r="H328" s="39">
        <v>2249020</v>
      </c>
      <c r="I328" s="40">
        <v>16180000</v>
      </c>
      <c r="J328" s="40">
        <v>16180000</v>
      </c>
      <c r="K328" s="46">
        <v>0.82</v>
      </c>
      <c r="L328" s="46">
        <v>3.58</v>
      </c>
      <c r="M328" s="46">
        <v>-6.8</v>
      </c>
      <c r="N328" s="36">
        <v>324</v>
      </c>
      <c r="O328" s="41">
        <v>42998.867476851854</v>
      </c>
    </row>
    <row r="329" spans="2:15" x14ac:dyDescent="0.25">
      <c r="B329" s="36" t="s">
        <v>2393</v>
      </c>
      <c r="C329" s="35" t="s">
        <v>312</v>
      </c>
      <c r="D329" s="36" t="s">
        <v>1374</v>
      </c>
      <c r="E329" s="37">
        <v>2.8117000000000002E-4</v>
      </c>
      <c r="F329" s="38">
        <v>1.11666</v>
      </c>
      <c r="G329" s="39">
        <v>148534</v>
      </c>
      <c r="H329" s="39">
        <v>2233320</v>
      </c>
      <c r="I329" s="40">
        <v>2000000</v>
      </c>
      <c r="J329" s="40">
        <v>30000000</v>
      </c>
      <c r="K329" s="46">
        <v>0.39</v>
      </c>
      <c r="L329" s="46">
        <v>2.96</v>
      </c>
      <c r="M329" s="46">
        <v>-1.99</v>
      </c>
      <c r="N329" s="36">
        <v>325</v>
      </c>
      <c r="O329" s="41">
        <v>42998.867928240739</v>
      </c>
    </row>
    <row r="330" spans="2:15" x14ac:dyDescent="0.25">
      <c r="B330" s="36" t="s">
        <v>2449</v>
      </c>
      <c r="C330" s="35" t="s">
        <v>346</v>
      </c>
      <c r="D330" s="36" t="s">
        <v>1407</v>
      </c>
      <c r="E330" s="37">
        <v>1.7159999999999998E-5</v>
      </c>
      <c r="F330" s="38">
        <v>6.8149699999999994E-2</v>
      </c>
      <c r="G330" s="39">
        <v>579102</v>
      </c>
      <c r="H330" s="39">
        <v>2186692</v>
      </c>
      <c r="I330" s="40">
        <v>32086595</v>
      </c>
      <c r="J330" s="40">
        <v>32086595</v>
      </c>
      <c r="K330" s="46">
        <v>-0.74</v>
      </c>
      <c r="L330" s="46">
        <v>-17.829999999999998</v>
      </c>
      <c r="M330" s="46">
        <v>39.97</v>
      </c>
      <c r="N330" s="36">
        <v>326</v>
      </c>
      <c r="O330" s="41">
        <v>42998.8675</v>
      </c>
    </row>
    <row r="331" spans="2:15" x14ac:dyDescent="0.25">
      <c r="B331" s="36" t="s">
        <v>2431</v>
      </c>
      <c r="C331" s="35" t="s">
        <v>329</v>
      </c>
      <c r="D331" s="36" t="s">
        <v>1390</v>
      </c>
      <c r="E331" s="37">
        <v>1.206E-5</v>
      </c>
      <c r="F331" s="38">
        <v>4.7898700000000002E-2</v>
      </c>
      <c r="G331" s="39">
        <v>2086.39</v>
      </c>
      <c r="H331" s="39">
        <v>2172701</v>
      </c>
      <c r="I331" s="40">
        <v>45360335</v>
      </c>
      <c r="J331" s="40">
        <v>45360335</v>
      </c>
      <c r="K331" s="46">
        <v>-0.57999999999999996</v>
      </c>
      <c r="L331" s="46">
        <v>-1.56</v>
      </c>
      <c r="M331" s="46">
        <v>-2.56</v>
      </c>
      <c r="N331" s="36">
        <v>327</v>
      </c>
      <c r="O331" s="41">
        <v>42998.867731481485</v>
      </c>
    </row>
    <row r="332" spans="2:15" x14ac:dyDescent="0.25">
      <c r="B332" s="36" t="s">
        <v>3247</v>
      </c>
      <c r="C332" s="35" t="s">
        <v>3248</v>
      </c>
      <c r="D332" s="36" t="s">
        <v>3249</v>
      </c>
      <c r="E332" s="37">
        <v>2.1869999999999999E-5</v>
      </c>
      <c r="F332" s="38">
        <v>8.6789500000000006E-2</v>
      </c>
      <c r="G332" s="39">
        <v>255199</v>
      </c>
      <c r="H332" s="39">
        <v>2169738</v>
      </c>
      <c r="I332" s="40">
        <v>25000000</v>
      </c>
      <c r="J332" s="40">
        <v>50000000</v>
      </c>
      <c r="K332" s="46">
        <v>-6.21</v>
      </c>
      <c r="L332" s="46">
        <v>13.14</v>
      </c>
      <c r="M332" s="46">
        <v>414.54</v>
      </c>
      <c r="N332" s="36">
        <v>328</v>
      </c>
      <c r="O332" s="41">
        <v>42998.864537037036</v>
      </c>
    </row>
    <row r="333" spans="2:15" x14ac:dyDescent="0.25">
      <c r="B333" s="36" t="s">
        <v>2461</v>
      </c>
      <c r="C333" s="35" t="s">
        <v>350</v>
      </c>
      <c r="D333" s="36" t="s">
        <v>1411</v>
      </c>
      <c r="E333" s="37">
        <v>2.16E-5</v>
      </c>
      <c r="F333" s="38">
        <v>8.5779300000000003E-2</v>
      </c>
      <c r="G333" s="39">
        <v>989.476</v>
      </c>
      <c r="H333" s="39">
        <v>2013431</v>
      </c>
      <c r="I333" s="40">
        <v>23472224</v>
      </c>
      <c r="J333" s="40">
        <v>100000000</v>
      </c>
      <c r="K333" s="46">
        <v>-3.62</v>
      </c>
      <c r="L333" s="46">
        <v>-14.07</v>
      </c>
      <c r="M333" s="46">
        <v>21.1</v>
      </c>
      <c r="N333" s="36">
        <v>329</v>
      </c>
      <c r="O333" s="41">
        <v>42998.867939814816</v>
      </c>
    </row>
    <row r="334" spans="2:15" x14ac:dyDescent="0.25">
      <c r="B334" s="36" t="s">
        <v>2381</v>
      </c>
      <c r="C334" s="35" t="s">
        <v>304</v>
      </c>
      <c r="D334" s="36" t="s">
        <v>1366</v>
      </c>
      <c r="E334" s="37">
        <v>6.0849999999999999E-4</v>
      </c>
      <c r="F334" s="38">
        <v>2.4166099999999999</v>
      </c>
      <c r="G334" s="39">
        <v>696.13300000000004</v>
      </c>
      <c r="H334" s="39">
        <v>1995090</v>
      </c>
      <c r="I334" s="40">
        <v>825574</v>
      </c>
      <c r="J334" s="40">
        <v>825574</v>
      </c>
      <c r="K334" s="46">
        <v>-0.04</v>
      </c>
      <c r="L334" s="46">
        <v>-16.16</v>
      </c>
      <c r="M334" s="46">
        <v>-26.38</v>
      </c>
      <c r="N334" s="36">
        <v>330</v>
      </c>
      <c r="O334" s="41">
        <v>42998.867939814816</v>
      </c>
    </row>
    <row r="335" spans="2:15" x14ac:dyDescent="0.25">
      <c r="B335" s="36" t="s">
        <v>2396</v>
      </c>
      <c r="C335" s="35" t="s">
        <v>298</v>
      </c>
      <c r="D335" s="36" t="s">
        <v>1360</v>
      </c>
      <c r="E335" s="37">
        <v>4.9999999999999998E-7</v>
      </c>
      <c r="F335" s="38">
        <v>1.9839900000000001E-3</v>
      </c>
      <c r="G335" s="39">
        <v>7685.5</v>
      </c>
      <c r="H335" s="39">
        <v>1985603</v>
      </c>
      <c r="I335" s="40">
        <v>1000812836</v>
      </c>
      <c r="J335" s="40">
        <v>1000812836</v>
      </c>
      <c r="K335" s="46">
        <v>-7.0000000000000007E-2</v>
      </c>
      <c r="L335" s="46">
        <v>12.39</v>
      </c>
      <c r="M335" s="46">
        <v>-13.4</v>
      </c>
      <c r="N335" s="36">
        <v>331</v>
      </c>
      <c r="O335" s="41">
        <v>42998.867881944447</v>
      </c>
    </row>
    <row r="336" spans="2:15" x14ac:dyDescent="0.25">
      <c r="B336" s="36" t="s">
        <v>2392</v>
      </c>
      <c r="C336" s="35" t="s">
        <v>293</v>
      </c>
      <c r="D336" s="36" t="s">
        <v>1356</v>
      </c>
      <c r="E336" s="37">
        <v>2E-8</v>
      </c>
      <c r="F336" s="42">
        <v>7.9489599999999999E-5</v>
      </c>
      <c r="G336" s="39">
        <v>1008.2</v>
      </c>
      <c r="H336" s="39">
        <v>1977423</v>
      </c>
      <c r="I336" s="40">
        <v>24876497618</v>
      </c>
      <c r="J336" s="40">
        <v>24876497618</v>
      </c>
      <c r="K336" s="46">
        <v>-0.8</v>
      </c>
      <c r="L336" s="46">
        <v>-20.98</v>
      </c>
      <c r="M336" s="46">
        <v>-23.99</v>
      </c>
      <c r="N336" s="36">
        <v>332</v>
      </c>
      <c r="O336" s="41">
        <v>42998.8674537037</v>
      </c>
    </row>
    <row r="337" spans="2:15" x14ac:dyDescent="0.25">
      <c r="B337" s="36" t="s">
        <v>2490</v>
      </c>
      <c r="C337" s="35" t="s">
        <v>375</v>
      </c>
      <c r="D337" s="36" t="s">
        <v>1436</v>
      </c>
      <c r="E337" s="37">
        <v>4.952E-4</v>
      </c>
      <c r="F337" s="38">
        <v>1.9666399999999999</v>
      </c>
      <c r="G337" s="39">
        <v>4381.38</v>
      </c>
      <c r="H337" s="39">
        <v>1969679</v>
      </c>
      <c r="I337" s="40">
        <v>1001545</v>
      </c>
      <c r="J337" s="40">
        <v>1001545</v>
      </c>
      <c r="K337" s="46">
        <v>11.75</v>
      </c>
      <c r="L337" s="46">
        <v>-5.53</v>
      </c>
      <c r="M337" s="46">
        <v>17.87</v>
      </c>
      <c r="N337" s="36">
        <v>333</v>
      </c>
      <c r="O337" s="41">
        <v>42998.867407407408</v>
      </c>
    </row>
    <row r="338" spans="2:15" x14ac:dyDescent="0.25">
      <c r="B338" s="36" t="s">
        <v>2391</v>
      </c>
      <c r="C338" s="35" t="s">
        <v>349</v>
      </c>
      <c r="D338" s="36" t="s">
        <v>1410</v>
      </c>
      <c r="E338" s="37">
        <v>4.9089999999999999E-5</v>
      </c>
      <c r="F338" s="38">
        <v>0.19495999999999999</v>
      </c>
      <c r="G338" s="39">
        <v>131083</v>
      </c>
      <c r="H338" s="39">
        <v>1940259</v>
      </c>
      <c r="I338" s="40">
        <v>9952089</v>
      </c>
      <c r="J338" s="40">
        <v>9952089</v>
      </c>
      <c r="K338" s="46">
        <v>2.5099999999999998</v>
      </c>
      <c r="L338" s="46">
        <v>23.89</v>
      </c>
      <c r="M338" s="46">
        <v>14.85</v>
      </c>
      <c r="N338" s="36">
        <v>334</v>
      </c>
      <c r="O338" s="41">
        <v>42998.867962962962</v>
      </c>
    </row>
    <row r="339" spans="2:15" x14ac:dyDescent="0.25">
      <c r="B339" s="36" t="s">
        <v>2475</v>
      </c>
      <c r="C339" s="35" t="s">
        <v>361</v>
      </c>
      <c r="D339" s="36" t="s">
        <v>1422</v>
      </c>
      <c r="E339" s="37">
        <v>1.5E-5</v>
      </c>
      <c r="F339" s="38">
        <v>5.9571399999999997E-2</v>
      </c>
      <c r="G339" s="39">
        <v>2508.1</v>
      </c>
      <c r="H339" s="39">
        <v>1817123</v>
      </c>
      <c r="I339" s="40">
        <v>30503273</v>
      </c>
      <c r="J339" s="40">
        <v>32503273</v>
      </c>
      <c r="K339" s="46">
        <v>-7.57</v>
      </c>
      <c r="L339" s="46">
        <v>3.74</v>
      </c>
      <c r="M339" s="46">
        <v>11.61</v>
      </c>
      <c r="N339" s="36">
        <v>335</v>
      </c>
      <c r="O339" s="41">
        <v>42998.867812500001</v>
      </c>
    </row>
    <row r="340" spans="2:15" x14ac:dyDescent="0.25">
      <c r="B340" s="36" t="s">
        <v>2434</v>
      </c>
      <c r="C340" s="35" t="s">
        <v>331</v>
      </c>
      <c r="D340" s="36" t="s">
        <v>1392</v>
      </c>
      <c r="E340" s="37">
        <v>2.3600000000000001E-5</v>
      </c>
      <c r="F340" s="38">
        <v>9.3725699999999995E-2</v>
      </c>
      <c r="G340" s="39">
        <v>15949.7</v>
      </c>
      <c r="H340" s="39">
        <v>1807199</v>
      </c>
      <c r="I340" s="40">
        <v>19281790</v>
      </c>
      <c r="J340" s="40">
        <v>19281790</v>
      </c>
      <c r="K340" s="46">
        <v>1.96</v>
      </c>
      <c r="L340" s="46">
        <v>-3.01</v>
      </c>
      <c r="M340" s="46">
        <v>6.75</v>
      </c>
      <c r="N340" s="36">
        <v>336</v>
      </c>
      <c r="O340" s="41">
        <v>42998.867858796293</v>
      </c>
    </row>
    <row r="341" spans="2:15" x14ac:dyDescent="0.25">
      <c r="B341" s="36" t="s">
        <v>2447</v>
      </c>
      <c r="C341" s="35" t="s">
        <v>334</v>
      </c>
      <c r="D341" s="36" t="s">
        <v>1395</v>
      </c>
      <c r="E341" s="36">
        <v>5.0799999999999996E-6</v>
      </c>
      <c r="F341" s="36">
        <v>2.0191400000000002E-2</v>
      </c>
      <c r="G341" s="36">
        <v>43043.9</v>
      </c>
      <c r="H341" s="36">
        <v>1780548</v>
      </c>
      <c r="I341" s="40">
        <v>88183483</v>
      </c>
      <c r="J341" s="40">
        <v>488183483</v>
      </c>
      <c r="K341" s="46">
        <v>-0.03</v>
      </c>
      <c r="L341" s="46">
        <v>-1.66</v>
      </c>
      <c r="M341" s="46">
        <v>-6.25</v>
      </c>
      <c r="N341" s="36">
        <v>337</v>
      </c>
      <c r="O341" s="41">
        <v>42998.867997685185</v>
      </c>
    </row>
    <row r="342" spans="2:15" x14ac:dyDescent="0.25">
      <c r="B342" s="36" t="s">
        <v>2452</v>
      </c>
      <c r="C342" s="35" t="s">
        <v>352</v>
      </c>
      <c r="D342" s="36" t="s">
        <v>1413</v>
      </c>
      <c r="E342" s="37">
        <v>6.0019999999999998E-5</v>
      </c>
      <c r="F342" s="38">
        <v>0.23836499999999999</v>
      </c>
      <c r="G342" s="39">
        <v>85874.9</v>
      </c>
      <c r="H342" s="39">
        <v>1760945</v>
      </c>
      <c r="I342" s="40">
        <v>7387599</v>
      </c>
      <c r="J342" s="40">
        <v>7387599</v>
      </c>
      <c r="K342" s="46">
        <v>-0.61</v>
      </c>
      <c r="L342" s="46">
        <v>-2.98</v>
      </c>
      <c r="M342" s="46">
        <v>-11.47</v>
      </c>
      <c r="N342" s="36">
        <v>338</v>
      </c>
      <c r="O342" s="41">
        <v>42998.86755787037</v>
      </c>
    </row>
    <row r="343" spans="2:15" x14ac:dyDescent="0.25">
      <c r="B343" s="36" t="s">
        <v>2402</v>
      </c>
      <c r="C343" s="35" t="s">
        <v>302</v>
      </c>
      <c r="D343" s="36" t="s">
        <v>1364</v>
      </c>
      <c r="E343" s="36">
        <v>1.1749999999999999E-5</v>
      </c>
      <c r="F343" s="38">
        <v>4.6648500000000002E-2</v>
      </c>
      <c r="G343" s="36">
        <v>816011</v>
      </c>
      <c r="H343" s="36">
        <v>1742498</v>
      </c>
      <c r="I343" s="40">
        <v>37353775</v>
      </c>
      <c r="J343" s="40">
        <v>37353775</v>
      </c>
      <c r="K343" s="46">
        <v>-7.47</v>
      </c>
      <c r="L343" s="46">
        <v>30.34</v>
      </c>
      <c r="M343" s="46">
        <v>-6.6</v>
      </c>
      <c r="N343" s="36">
        <v>339</v>
      </c>
      <c r="O343" s="41">
        <v>42998.8674537037</v>
      </c>
    </row>
    <row r="344" spans="2:15" x14ac:dyDescent="0.25">
      <c r="B344" s="36" t="s">
        <v>2444</v>
      </c>
      <c r="C344" s="35" t="s">
        <v>348</v>
      </c>
      <c r="D344" s="36" t="s">
        <v>1409</v>
      </c>
      <c r="E344" s="37">
        <v>2.7679999999999999E-5</v>
      </c>
      <c r="F344" s="38">
        <v>0.109945</v>
      </c>
      <c r="G344" s="39">
        <v>141655</v>
      </c>
      <c r="H344" s="39">
        <v>1700702</v>
      </c>
      <c r="I344" s="40">
        <v>15468663</v>
      </c>
      <c r="J344" s="40">
        <v>20508003</v>
      </c>
      <c r="K344" s="46">
        <v>0.16</v>
      </c>
      <c r="L344" s="46">
        <v>14.75</v>
      </c>
      <c r="M344" s="46">
        <v>13.46</v>
      </c>
      <c r="N344" s="36">
        <v>340</v>
      </c>
      <c r="O344" s="41">
        <v>42998.867881944447</v>
      </c>
    </row>
    <row r="345" spans="2:15" x14ac:dyDescent="0.25">
      <c r="B345" s="36" t="s">
        <v>2440</v>
      </c>
      <c r="C345" s="35" t="s">
        <v>337</v>
      </c>
      <c r="D345" s="36" t="s">
        <v>1398</v>
      </c>
      <c r="E345" s="37">
        <v>8.9560000000000003E-5</v>
      </c>
      <c r="F345" s="38">
        <v>0.35569200000000001</v>
      </c>
      <c r="G345" s="39">
        <v>50028.9</v>
      </c>
      <c r="H345" s="39">
        <v>1694526</v>
      </c>
      <c r="I345" s="40">
        <v>4764026</v>
      </c>
      <c r="J345" s="40">
        <v>4764026</v>
      </c>
      <c r="K345" s="46">
        <v>2.54</v>
      </c>
      <c r="L345" s="46">
        <v>6.82</v>
      </c>
      <c r="M345" s="46">
        <v>13.33</v>
      </c>
      <c r="N345" s="36">
        <v>341</v>
      </c>
      <c r="O345" s="41">
        <v>42998.867592592593</v>
      </c>
    </row>
    <row r="346" spans="2:15" x14ac:dyDescent="0.25">
      <c r="B346" s="36" t="s">
        <v>2383</v>
      </c>
      <c r="C346" s="35" t="s">
        <v>283</v>
      </c>
      <c r="D346" s="36" t="s">
        <v>1346</v>
      </c>
      <c r="E346" s="37">
        <v>3.9780000000000002E-4</v>
      </c>
      <c r="F346" s="38">
        <v>1.5798300000000001</v>
      </c>
      <c r="G346" s="39">
        <v>24454.3</v>
      </c>
      <c r="H346" s="39">
        <v>1681676</v>
      </c>
      <c r="I346" s="40">
        <v>1064467</v>
      </c>
      <c r="J346" s="40">
        <v>1064467</v>
      </c>
      <c r="K346" s="46">
        <v>-0.48</v>
      </c>
      <c r="L346" s="46">
        <v>-3.56</v>
      </c>
      <c r="M346" s="46">
        <v>-58.86</v>
      </c>
      <c r="N346" s="36">
        <v>342</v>
      </c>
      <c r="O346" s="41">
        <v>42998.86791666667</v>
      </c>
    </row>
    <row r="347" spans="2:15" x14ac:dyDescent="0.25">
      <c r="B347" s="36" t="s">
        <v>3183</v>
      </c>
      <c r="C347" s="35" t="s">
        <v>3184</v>
      </c>
      <c r="D347" s="36" t="s">
        <v>3185</v>
      </c>
      <c r="E347" s="37">
        <v>6.2700000000000001E-6</v>
      </c>
      <c r="F347" s="38">
        <v>2.4894900000000001E-2</v>
      </c>
      <c r="G347" s="39">
        <v>497544</v>
      </c>
      <c r="H347" s="39">
        <v>1638145</v>
      </c>
      <c r="I347" s="40">
        <v>65802448</v>
      </c>
      <c r="J347" s="40">
        <v>400000000</v>
      </c>
      <c r="K347" s="46">
        <v>1.78</v>
      </c>
      <c r="L347" s="46">
        <v>-3.24</v>
      </c>
      <c r="M347" s="46">
        <v>-83.49</v>
      </c>
      <c r="N347" s="36">
        <v>343</v>
      </c>
      <c r="O347" s="41">
        <v>42998.864548611113</v>
      </c>
    </row>
    <row r="348" spans="2:15" x14ac:dyDescent="0.25">
      <c r="B348" s="36" t="s">
        <v>2348</v>
      </c>
      <c r="C348" s="35" t="s">
        <v>239</v>
      </c>
      <c r="D348" s="36" t="s">
        <v>1303</v>
      </c>
      <c r="E348" s="37">
        <v>5.7999999999999995E-7</v>
      </c>
      <c r="F348" s="38">
        <v>2.3134700000000002E-3</v>
      </c>
      <c r="G348" s="39">
        <v>4026.69</v>
      </c>
      <c r="H348" s="39">
        <v>1637304</v>
      </c>
      <c r="I348" s="40">
        <v>707726649</v>
      </c>
      <c r="J348" s="40">
        <v>707726649</v>
      </c>
      <c r="K348" s="46">
        <v>6.12</v>
      </c>
      <c r="L348" s="46">
        <v>6.11</v>
      </c>
      <c r="M348" s="46">
        <v>116.44</v>
      </c>
      <c r="N348" s="36">
        <v>344</v>
      </c>
      <c r="O348" s="41">
        <v>42998.867777777778</v>
      </c>
    </row>
    <row r="349" spans="2:15" x14ac:dyDescent="0.25">
      <c r="B349" s="36" t="s">
        <v>2350</v>
      </c>
      <c r="C349" s="35" t="s">
        <v>221</v>
      </c>
      <c r="D349" s="36" t="s">
        <v>1286</v>
      </c>
      <c r="E349" s="37">
        <v>1.1568E-4</v>
      </c>
      <c r="F349" s="38">
        <v>0.45942</v>
      </c>
      <c r="G349" s="39">
        <v>11741</v>
      </c>
      <c r="H349" s="39">
        <v>1636505</v>
      </c>
      <c r="I349" s="40">
        <v>3562111</v>
      </c>
      <c r="J349" s="40">
        <v>70000000</v>
      </c>
      <c r="K349" s="46">
        <v>-2.96</v>
      </c>
      <c r="L349" s="46">
        <v>-4.4000000000000004</v>
      </c>
      <c r="M349" s="46">
        <v>-2.73</v>
      </c>
      <c r="N349" s="36">
        <v>345</v>
      </c>
      <c r="O349" s="41">
        <v>42998.867824074077</v>
      </c>
    </row>
    <row r="350" spans="2:15" x14ac:dyDescent="0.25">
      <c r="B350" s="36" t="s">
        <v>2433</v>
      </c>
      <c r="C350" s="35" t="s">
        <v>317</v>
      </c>
      <c r="D350" s="36" t="s">
        <v>1379</v>
      </c>
      <c r="E350" s="37">
        <v>1.4780000000000001E-5</v>
      </c>
      <c r="F350" s="38">
        <v>5.8678399999999999E-2</v>
      </c>
      <c r="G350" s="39">
        <v>8536.75</v>
      </c>
      <c r="H350" s="39">
        <v>1429805</v>
      </c>
      <c r="I350" s="40">
        <v>24366800</v>
      </c>
      <c r="J350" s="40">
        <v>24366800</v>
      </c>
      <c r="K350" s="46">
        <v>-6.23</v>
      </c>
      <c r="L350" s="46">
        <v>5.4</v>
      </c>
      <c r="M350" s="46">
        <v>-7.23</v>
      </c>
      <c r="N350" s="36">
        <v>346</v>
      </c>
      <c r="O350" s="41">
        <v>42998.867766203701</v>
      </c>
    </row>
    <row r="351" spans="2:15" x14ac:dyDescent="0.25">
      <c r="B351" s="36" t="s">
        <v>2418</v>
      </c>
      <c r="C351" s="35" t="s">
        <v>319</v>
      </c>
      <c r="D351" s="36" t="s">
        <v>1381</v>
      </c>
      <c r="E351" s="37">
        <v>2.93225E-3</v>
      </c>
      <c r="F351" s="38">
        <v>11.645200000000001</v>
      </c>
      <c r="G351" s="39">
        <v>1230.19</v>
      </c>
      <c r="H351" s="39">
        <v>1422755</v>
      </c>
      <c r="I351" s="40">
        <v>122175</v>
      </c>
      <c r="J351" s="40">
        <v>134063</v>
      </c>
      <c r="K351" s="46">
        <v>-0.04</v>
      </c>
      <c r="L351" s="46">
        <v>-18.07</v>
      </c>
      <c r="M351" s="46">
        <v>-5.27</v>
      </c>
      <c r="N351" s="36">
        <v>347</v>
      </c>
      <c r="O351" s="41">
        <v>42998.867893518516</v>
      </c>
    </row>
    <row r="352" spans="2:15" x14ac:dyDescent="0.25">
      <c r="B352" s="36" t="s">
        <v>2458</v>
      </c>
      <c r="C352" s="35" t="s">
        <v>351</v>
      </c>
      <c r="D352" s="36" t="s">
        <v>1412</v>
      </c>
      <c r="E352" s="37">
        <v>3.4999999999999998E-7</v>
      </c>
      <c r="F352" s="38">
        <v>1.3986999999999999E-3</v>
      </c>
      <c r="G352" s="39">
        <v>1183.55</v>
      </c>
      <c r="H352" s="39">
        <v>1397111</v>
      </c>
      <c r="I352" s="40">
        <v>998863903</v>
      </c>
      <c r="J352" s="40">
        <v>998863903</v>
      </c>
      <c r="K352" s="46">
        <v>-0.05</v>
      </c>
      <c r="L352" s="46">
        <v>-0.31</v>
      </c>
      <c r="M352" s="46">
        <v>-8.0299999999999994</v>
      </c>
      <c r="N352" s="36">
        <v>348</v>
      </c>
      <c r="O352" s="41">
        <v>42998.867569444446</v>
      </c>
    </row>
    <row r="353" spans="2:15" x14ac:dyDescent="0.25">
      <c r="B353" s="36" t="s">
        <v>2289</v>
      </c>
      <c r="C353" s="35" t="s">
        <v>189</v>
      </c>
      <c r="D353" s="36" t="s">
        <v>1254</v>
      </c>
      <c r="E353" s="37">
        <v>2.9999999999999997E-8</v>
      </c>
      <c r="F353" s="38">
        <v>1.2168299999999999E-4</v>
      </c>
      <c r="G353" s="39">
        <v>338142</v>
      </c>
      <c r="H353" s="39">
        <v>1386650</v>
      </c>
      <c r="I353" s="40">
        <v>11395592427</v>
      </c>
      <c r="J353" s="40">
        <v>11395592427</v>
      </c>
      <c r="K353" s="46">
        <v>-2.2400000000000002</v>
      </c>
      <c r="L353" s="46">
        <v>-44.33</v>
      </c>
      <c r="M353" s="46">
        <v>-58.09</v>
      </c>
      <c r="N353" s="36">
        <v>349</v>
      </c>
      <c r="O353" s="41">
        <v>42998.867430555554</v>
      </c>
    </row>
    <row r="354" spans="2:15" x14ac:dyDescent="0.25">
      <c r="B354" s="36" t="s">
        <v>3200</v>
      </c>
      <c r="C354" s="35" t="s">
        <v>3201</v>
      </c>
      <c r="D354" s="36" t="s">
        <v>3202</v>
      </c>
      <c r="E354" s="37">
        <v>7.7520000000000003E-5</v>
      </c>
      <c r="F354" s="38">
        <v>0.307641</v>
      </c>
      <c r="G354" s="39">
        <v>50772.4</v>
      </c>
      <c r="H354" s="39">
        <v>1384385</v>
      </c>
      <c r="I354" s="40">
        <v>4500000</v>
      </c>
      <c r="J354" s="40">
        <v>20000000</v>
      </c>
      <c r="K354" s="46">
        <v>6.81</v>
      </c>
      <c r="L354" s="46">
        <v>57.2</v>
      </c>
      <c r="M354" s="46">
        <v>72.64</v>
      </c>
      <c r="N354" s="36">
        <v>350</v>
      </c>
      <c r="O354" s="41">
        <v>42998.864537037036</v>
      </c>
    </row>
    <row r="355" spans="2:15" x14ac:dyDescent="0.25">
      <c r="B355" s="36" t="s">
        <v>2451</v>
      </c>
      <c r="C355" s="35" t="s">
        <v>359</v>
      </c>
      <c r="D355" s="36" t="s">
        <v>1420</v>
      </c>
      <c r="E355" s="37">
        <v>3.49E-6</v>
      </c>
      <c r="F355" s="38">
        <v>1.3842200000000001E-2</v>
      </c>
      <c r="G355" s="39">
        <v>596.19000000000005</v>
      </c>
      <c r="H355" s="39">
        <v>1384220</v>
      </c>
      <c r="I355" s="40">
        <v>100000000</v>
      </c>
      <c r="J355" s="40">
        <v>100000000</v>
      </c>
      <c r="K355" s="46">
        <v>-0.31</v>
      </c>
      <c r="L355" s="46">
        <v>-13.03</v>
      </c>
      <c r="M355" s="46">
        <v>73.510000000000005</v>
      </c>
      <c r="N355" s="36">
        <v>351</v>
      </c>
      <c r="O355" s="41">
        <v>42998.867881944447</v>
      </c>
    </row>
    <row r="356" spans="2:15" x14ac:dyDescent="0.25">
      <c r="B356" s="36" t="s">
        <v>2450</v>
      </c>
      <c r="C356" s="35" t="s">
        <v>344</v>
      </c>
      <c r="D356" s="36" t="s">
        <v>1405</v>
      </c>
      <c r="E356" s="37">
        <v>4.51E-6</v>
      </c>
      <c r="F356" s="38">
        <v>1.7923600000000001E-2</v>
      </c>
      <c r="G356" s="39">
        <v>6996.35</v>
      </c>
      <c r="H356" s="39">
        <v>1352413</v>
      </c>
      <c r="I356" s="40">
        <v>75454339</v>
      </c>
      <c r="J356" s="40">
        <v>75454339</v>
      </c>
      <c r="K356" s="46">
        <v>-5.15</v>
      </c>
      <c r="L356" s="46">
        <v>3.07</v>
      </c>
      <c r="M356" s="46">
        <v>-20.58</v>
      </c>
      <c r="N356" s="36">
        <v>352</v>
      </c>
      <c r="O356" s="41">
        <v>42998.867847222224</v>
      </c>
    </row>
    <row r="357" spans="2:15" x14ac:dyDescent="0.25">
      <c r="B357" s="36" t="s">
        <v>2328</v>
      </c>
      <c r="C357" s="35" t="s">
        <v>225</v>
      </c>
      <c r="D357" s="36" t="s">
        <v>1289</v>
      </c>
      <c r="E357" s="37">
        <v>4.0000000000000002E-9</v>
      </c>
      <c r="F357" s="38">
        <v>1.42715E-5</v>
      </c>
      <c r="G357" s="39">
        <v>1749.16</v>
      </c>
      <c r="H357" s="39">
        <v>1292945</v>
      </c>
      <c r="I357" s="40">
        <v>90596274910</v>
      </c>
      <c r="J357" s="40">
        <v>90596274910</v>
      </c>
      <c r="K357" s="46">
        <v>-0.28000000000000003</v>
      </c>
      <c r="L357" s="46">
        <v>77.150000000000006</v>
      </c>
      <c r="M357" s="46">
        <v>-40.200000000000003</v>
      </c>
      <c r="N357" s="36">
        <v>353</v>
      </c>
      <c r="O357" s="41">
        <v>42998.867407407408</v>
      </c>
    </row>
    <row r="358" spans="2:15" x14ac:dyDescent="0.25">
      <c r="B358" s="36" t="s">
        <v>2347</v>
      </c>
      <c r="C358" s="35" t="s">
        <v>244</v>
      </c>
      <c r="D358" s="36" t="s">
        <v>1308</v>
      </c>
      <c r="E358" s="37">
        <v>7.9999999999999996E-7</v>
      </c>
      <c r="F358" s="38">
        <v>3.19418E-3</v>
      </c>
      <c r="G358" s="39">
        <v>661795</v>
      </c>
      <c r="H358" s="39">
        <v>1278757</v>
      </c>
      <c r="I358" s="40">
        <v>400339746</v>
      </c>
      <c r="J358" s="40">
        <v>400339746</v>
      </c>
      <c r="K358" s="46">
        <v>-0.79</v>
      </c>
      <c r="L358" s="46">
        <v>-20.49</v>
      </c>
      <c r="M358" s="46">
        <v>-55.65</v>
      </c>
      <c r="N358" s="36">
        <v>354</v>
      </c>
      <c r="O358" s="41">
        <v>42998.867604166669</v>
      </c>
    </row>
    <row r="359" spans="2:15" x14ac:dyDescent="0.25">
      <c r="B359" s="36" t="s">
        <v>2460</v>
      </c>
      <c r="C359" s="35" t="s">
        <v>367</v>
      </c>
      <c r="D359" s="36" t="s">
        <v>1428</v>
      </c>
      <c r="E359" s="37">
        <v>3.9000000000000002E-7</v>
      </c>
      <c r="F359" s="38">
        <v>1.53684E-3</v>
      </c>
      <c r="G359" s="39">
        <v>1490.18</v>
      </c>
      <c r="H359" s="39">
        <v>1263163</v>
      </c>
      <c r="I359" s="40">
        <v>821922349</v>
      </c>
      <c r="J359" s="40">
        <v>821922349</v>
      </c>
      <c r="K359" s="46">
        <v>0.6</v>
      </c>
      <c r="L359" s="46">
        <v>4.28</v>
      </c>
      <c r="M359" s="46">
        <v>4.08</v>
      </c>
      <c r="N359" s="36">
        <v>355</v>
      </c>
      <c r="O359" s="41">
        <v>42998.867604166669</v>
      </c>
    </row>
    <row r="360" spans="2:15" x14ac:dyDescent="0.25">
      <c r="B360" s="36" t="s">
        <v>2969</v>
      </c>
      <c r="C360" s="35" t="s">
        <v>868</v>
      </c>
      <c r="D360" s="36" t="s">
        <v>1907</v>
      </c>
      <c r="E360" s="37">
        <v>3.1064999999999999E-4</v>
      </c>
      <c r="F360" s="42">
        <v>1.2328300000000001</v>
      </c>
      <c r="G360" s="39">
        <v>13319.9</v>
      </c>
      <c r="H360" s="39">
        <v>1258581</v>
      </c>
      <c r="I360" s="40">
        <v>1020888</v>
      </c>
      <c r="J360" s="40">
        <v>1020888</v>
      </c>
      <c r="K360" s="46">
        <v>1.47</v>
      </c>
      <c r="L360" s="46">
        <v>0.02</v>
      </c>
      <c r="M360" s="46">
        <v>2.2400000000000002</v>
      </c>
      <c r="N360" s="36">
        <v>356</v>
      </c>
      <c r="O360" s="41">
        <v>42998.864525462966</v>
      </c>
    </row>
    <row r="361" spans="2:15" x14ac:dyDescent="0.25">
      <c r="B361" s="36" t="s">
        <v>2459</v>
      </c>
      <c r="C361" s="35" t="s">
        <v>357</v>
      </c>
      <c r="D361" s="36" t="s">
        <v>1418</v>
      </c>
      <c r="E361" s="37">
        <v>1.504E-5</v>
      </c>
      <c r="F361" s="38">
        <v>5.9725599999999997E-2</v>
      </c>
      <c r="G361" s="39">
        <v>729.66300000000001</v>
      </c>
      <c r="H361" s="39">
        <v>1254183</v>
      </c>
      <c r="I361" s="40">
        <v>20999088</v>
      </c>
      <c r="J361" s="40">
        <v>20999088</v>
      </c>
      <c r="K361" s="46">
        <v>-7.9</v>
      </c>
      <c r="L361" s="46">
        <v>-5.38</v>
      </c>
      <c r="M361" s="46">
        <v>-11.81</v>
      </c>
      <c r="N361" s="36">
        <v>357</v>
      </c>
      <c r="O361" s="41">
        <v>42998.867395833331</v>
      </c>
    </row>
    <row r="362" spans="2:15" x14ac:dyDescent="0.25">
      <c r="B362" s="36" t="s">
        <v>2468</v>
      </c>
      <c r="C362" s="35" t="s">
        <v>365</v>
      </c>
      <c r="D362" s="36" t="s">
        <v>1426</v>
      </c>
      <c r="E362" s="37">
        <v>3.4999999999999999E-6</v>
      </c>
      <c r="F362" s="38">
        <v>1.38996E-2</v>
      </c>
      <c r="G362" s="39">
        <v>318774</v>
      </c>
      <c r="H362" s="39">
        <v>1235520</v>
      </c>
      <c r="I362" s="40">
        <v>88888888</v>
      </c>
      <c r="J362" s="40">
        <v>88888888</v>
      </c>
      <c r="K362" s="46">
        <v>-5.44</v>
      </c>
      <c r="L362" s="46">
        <v>19.420000000000002</v>
      </c>
      <c r="M362" s="46">
        <v>23.66</v>
      </c>
      <c r="N362" s="36">
        <v>358</v>
      </c>
      <c r="O362" s="41">
        <v>42998.867719907408</v>
      </c>
    </row>
    <row r="363" spans="2:15" x14ac:dyDescent="0.25">
      <c r="B363" s="36" t="s">
        <v>2662</v>
      </c>
      <c r="C363" s="35" t="s">
        <v>539</v>
      </c>
      <c r="D363" s="36" t="s">
        <v>1593</v>
      </c>
      <c r="E363" s="37">
        <v>2E-8</v>
      </c>
      <c r="F363" s="38">
        <v>7.94286E-5</v>
      </c>
      <c r="G363" s="39">
        <v>3508.03</v>
      </c>
      <c r="H363" s="39">
        <v>1222565</v>
      </c>
      <c r="I363" s="40">
        <v>15391995158</v>
      </c>
      <c r="J363" s="40">
        <v>15391995158</v>
      </c>
      <c r="K363" s="46">
        <v>33.39</v>
      </c>
      <c r="L363" s="46">
        <v>103</v>
      </c>
      <c r="M363" s="46">
        <v>103.84</v>
      </c>
      <c r="N363" s="36">
        <v>359</v>
      </c>
      <c r="O363" s="41">
        <v>42998.867523148147</v>
      </c>
    </row>
    <row r="364" spans="2:15" x14ac:dyDescent="0.25">
      <c r="B364" s="36" t="s">
        <v>2446</v>
      </c>
      <c r="C364" s="35" t="s">
        <v>343</v>
      </c>
      <c r="D364" s="36" t="s">
        <v>1404</v>
      </c>
      <c r="E364" s="37">
        <v>1E-8</v>
      </c>
      <c r="F364" s="38">
        <v>4.6768699999999998E-5</v>
      </c>
      <c r="G364" s="39">
        <v>594.95500000000004</v>
      </c>
      <c r="H364" s="39">
        <v>1214127</v>
      </c>
      <c r="I364" s="40">
        <v>25960250000</v>
      </c>
      <c r="J364" s="40">
        <v>25960250000</v>
      </c>
      <c r="K364" s="46">
        <v>-3.54</v>
      </c>
      <c r="L364" s="46">
        <v>-21.69</v>
      </c>
      <c r="M364" s="46">
        <v>-55.49</v>
      </c>
      <c r="N364" s="36">
        <v>360</v>
      </c>
      <c r="O364" s="41">
        <v>42998.867546296293</v>
      </c>
    </row>
    <row r="365" spans="2:15" x14ac:dyDescent="0.25">
      <c r="B365" s="36" t="s">
        <v>2438</v>
      </c>
      <c r="C365" s="35" t="s">
        <v>328</v>
      </c>
      <c r="D365" s="36" t="s">
        <v>1389</v>
      </c>
      <c r="E365" s="37">
        <v>1.863E-5</v>
      </c>
      <c r="F365" s="38">
        <v>7.3990899999999998E-2</v>
      </c>
      <c r="G365" s="39">
        <v>1090.06</v>
      </c>
      <c r="H365" s="39">
        <v>1209389</v>
      </c>
      <c r="I365" s="40">
        <v>16345100</v>
      </c>
      <c r="J365" s="40">
        <v>18595100</v>
      </c>
      <c r="K365" s="46">
        <v>-0.09</v>
      </c>
      <c r="L365" s="46">
        <v>9.7200000000000006</v>
      </c>
      <c r="M365" s="46">
        <v>2.31</v>
      </c>
      <c r="N365" s="36">
        <v>361</v>
      </c>
      <c r="O365" s="41">
        <v>42998.86791666667</v>
      </c>
    </row>
    <row r="366" spans="2:15" x14ac:dyDescent="0.25">
      <c r="B366" s="36" t="s">
        <v>2477</v>
      </c>
      <c r="C366" s="35" t="s">
        <v>372</v>
      </c>
      <c r="D366" s="36" t="s">
        <v>1433</v>
      </c>
      <c r="E366" s="37">
        <v>5.5099999999999998E-6</v>
      </c>
      <c r="F366" s="38">
        <v>2.1882599999999999E-2</v>
      </c>
      <c r="G366" s="39">
        <v>5109.5600000000004</v>
      </c>
      <c r="H366" s="39">
        <v>1207920</v>
      </c>
      <c r="I366" s="40">
        <v>55200000</v>
      </c>
      <c r="J366" s="40">
        <v>60200000</v>
      </c>
      <c r="K366" s="46">
        <v>-0.05</v>
      </c>
      <c r="L366" s="46">
        <v>7.39</v>
      </c>
      <c r="M366" s="46">
        <v>13.84</v>
      </c>
      <c r="N366" s="36">
        <v>362</v>
      </c>
      <c r="O366" s="41">
        <v>42998.867951388886</v>
      </c>
    </row>
    <row r="367" spans="2:15" x14ac:dyDescent="0.25">
      <c r="B367" s="36" t="s">
        <v>2486</v>
      </c>
      <c r="C367" s="35" t="s">
        <v>385</v>
      </c>
      <c r="D367" s="36" t="s">
        <v>1445</v>
      </c>
      <c r="E367" s="37">
        <v>1.5221000000000001E-4</v>
      </c>
      <c r="F367" s="38">
        <v>0.60449299999999995</v>
      </c>
      <c r="G367" s="39">
        <v>32854.800000000003</v>
      </c>
      <c r="H367" s="39">
        <v>1202968</v>
      </c>
      <c r="I367" s="40">
        <v>1990045</v>
      </c>
      <c r="J367" s="40">
        <v>200995023</v>
      </c>
      <c r="K367" s="46">
        <v>-0.22</v>
      </c>
      <c r="L367" s="46">
        <v>1.6</v>
      </c>
      <c r="M367" s="46">
        <v>-24.22</v>
      </c>
      <c r="N367" s="36">
        <v>363</v>
      </c>
      <c r="O367" s="41">
        <v>42998.867604166669</v>
      </c>
    </row>
    <row r="368" spans="2:15" x14ac:dyDescent="0.25">
      <c r="B368" s="36" t="s">
        <v>2380</v>
      </c>
      <c r="C368" s="35" t="s">
        <v>276</v>
      </c>
      <c r="D368" s="36" t="s">
        <v>1340</v>
      </c>
      <c r="E368" s="37">
        <v>5.0200000000000002E-6</v>
      </c>
      <c r="F368" s="38">
        <v>1.9936599999999999E-2</v>
      </c>
      <c r="G368" s="39">
        <v>1586.98</v>
      </c>
      <c r="H368" s="39">
        <v>1202030</v>
      </c>
      <c r="I368" s="40">
        <v>60292621</v>
      </c>
      <c r="J368" s="40">
        <v>60292621</v>
      </c>
      <c r="K368" s="46">
        <v>-6.11</v>
      </c>
      <c r="L368" s="46">
        <v>-3.89</v>
      </c>
      <c r="M368" s="46">
        <v>-27.06</v>
      </c>
      <c r="N368" s="36">
        <v>364</v>
      </c>
      <c r="O368" s="41">
        <v>42998.867442129631</v>
      </c>
    </row>
    <row r="369" spans="2:15" x14ac:dyDescent="0.25">
      <c r="B369" s="36" t="s">
        <v>2653</v>
      </c>
      <c r="C369" s="35" t="s">
        <v>370</v>
      </c>
      <c r="D369" s="36" t="s">
        <v>1431</v>
      </c>
      <c r="E369" s="37">
        <v>2.9999999999999997E-8</v>
      </c>
      <c r="F369" s="38">
        <v>1.1912E-4</v>
      </c>
      <c r="G369" s="39">
        <v>9308.17</v>
      </c>
      <c r="H369" s="39">
        <v>1177452</v>
      </c>
      <c r="I369" s="40">
        <v>9884588205</v>
      </c>
      <c r="J369" s="40">
        <v>9884588205</v>
      </c>
      <c r="K369" s="46">
        <v>-0.05</v>
      </c>
      <c r="L369" s="46">
        <v>51.21</v>
      </c>
      <c r="M369" s="46">
        <v>21.33</v>
      </c>
      <c r="N369" s="36">
        <v>365</v>
      </c>
      <c r="O369" s="41">
        <v>42998.867546296293</v>
      </c>
    </row>
    <row r="370" spans="2:15" x14ac:dyDescent="0.25">
      <c r="B370" s="36" t="s">
        <v>2462</v>
      </c>
      <c r="C370" s="35" t="s">
        <v>360</v>
      </c>
      <c r="D370" s="36" t="s">
        <v>1421</v>
      </c>
      <c r="E370" s="37">
        <v>2.251E-5</v>
      </c>
      <c r="F370" s="38">
        <v>8.9393100000000003E-2</v>
      </c>
      <c r="G370" s="39">
        <v>2699.93</v>
      </c>
      <c r="H370" s="39">
        <v>1151264</v>
      </c>
      <c r="I370" s="40">
        <v>12878667</v>
      </c>
      <c r="J370" s="40">
        <v>1812878667</v>
      </c>
      <c r="K370" s="46">
        <v>-0.04</v>
      </c>
      <c r="L370" s="46">
        <v>0.88</v>
      </c>
      <c r="M370" s="46">
        <v>-23.53</v>
      </c>
      <c r="N370" s="36">
        <v>366</v>
      </c>
      <c r="O370" s="41">
        <v>42998.867986111109</v>
      </c>
    </row>
    <row r="371" spans="2:15" x14ac:dyDescent="0.25">
      <c r="B371" s="36" t="s">
        <v>2506</v>
      </c>
      <c r="C371" s="35" t="s">
        <v>412</v>
      </c>
      <c r="D371" s="36" t="s">
        <v>1470</v>
      </c>
      <c r="E371" s="37">
        <v>2E-8</v>
      </c>
      <c r="F371" s="38">
        <v>6.7641100000000005E-5</v>
      </c>
      <c r="G371" s="39">
        <v>2460.0300000000002</v>
      </c>
      <c r="H371" s="39">
        <v>1126689</v>
      </c>
      <c r="I371" s="40">
        <v>16656877186</v>
      </c>
      <c r="J371" s="40">
        <v>16656877186</v>
      </c>
      <c r="K371" s="46">
        <v>19.940000000000001</v>
      </c>
      <c r="L371" s="46">
        <v>11.65</v>
      </c>
      <c r="M371" s="46">
        <v>13.11</v>
      </c>
      <c r="N371" s="36">
        <v>367</v>
      </c>
      <c r="O371" s="41">
        <v>42998.867847222224</v>
      </c>
    </row>
    <row r="372" spans="2:15" x14ac:dyDescent="0.25">
      <c r="B372" s="36" t="s">
        <v>2453</v>
      </c>
      <c r="C372" s="35" t="s">
        <v>347</v>
      </c>
      <c r="D372" s="36" t="s">
        <v>1408</v>
      </c>
      <c r="E372" s="37">
        <v>1.06E-6</v>
      </c>
      <c r="F372" s="38">
        <v>4.2124299999999996E-3</v>
      </c>
      <c r="G372" s="39">
        <v>4393.1499999999996</v>
      </c>
      <c r="H372" s="39">
        <v>1058331</v>
      </c>
      <c r="I372" s="40">
        <v>251240000</v>
      </c>
      <c r="J372" s="40">
        <v>516240000</v>
      </c>
      <c r="K372" s="46">
        <v>0.42</v>
      </c>
      <c r="L372" s="46">
        <v>-1.95</v>
      </c>
      <c r="M372" s="46">
        <v>-10.32</v>
      </c>
      <c r="N372" s="36">
        <v>368</v>
      </c>
      <c r="O372" s="41">
        <v>42998.86755787037</v>
      </c>
    </row>
    <row r="373" spans="2:15" x14ac:dyDescent="0.25">
      <c r="B373" s="36" t="s">
        <v>2489</v>
      </c>
      <c r="C373" s="35" t="s">
        <v>392</v>
      </c>
      <c r="D373" s="36" t="s">
        <v>1451</v>
      </c>
      <c r="E373" s="37">
        <v>4.494E-5</v>
      </c>
      <c r="F373" s="38">
        <v>0.178476</v>
      </c>
      <c r="G373" s="39">
        <v>4474660</v>
      </c>
      <c r="H373" s="39">
        <v>1041971</v>
      </c>
      <c r="I373" s="40">
        <v>5838159</v>
      </c>
      <c r="J373" s="40">
        <v>80828159</v>
      </c>
      <c r="K373" s="46">
        <v>5.8</v>
      </c>
      <c r="L373" s="46">
        <v>54.15</v>
      </c>
      <c r="M373" s="46">
        <v>82.97</v>
      </c>
      <c r="N373" s="36">
        <v>369</v>
      </c>
      <c r="O373" s="41">
        <v>42998.867928240739</v>
      </c>
    </row>
    <row r="374" spans="2:15" x14ac:dyDescent="0.25">
      <c r="B374" s="36" t="s">
        <v>2982</v>
      </c>
      <c r="C374" s="35" t="s">
        <v>856</v>
      </c>
      <c r="D374" s="36" t="s">
        <v>1894</v>
      </c>
      <c r="E374" s="37">
        <v>1.0484000000000001E-4</v>
      </c>
      <c r="F374" s="38">
        <v>0.41607100000000002</v>
      </c>
      <c r="G374" s="39">
        <v>28263.8</v>
      </c>
      <c r="H374" s="39">
        <v>1040178</v>
      </c>
      <c r="I374" s="40">
        <v>2500000</v>
      </c>
      <c r="J374" s="40">
        <v>104149200</v>
      </c>
      <c r="K374" s="46">
        <v>-0.62</v>
      </c>
      <c r="L374" s="46">
        <v>-16.47</v>
      </c>
      <c r="M374" s="46">
        <v>-14.74</v>
      </c>
      <c r="N374" s="36">
        <v>370</v>
      </c>
      <c r="O374" s="41">
        <v>42998.864525462966</v>
      </c>
    </row>
    <row r="375" spans="2:15" x14ac:dyDescent="0.25">
      <c r="B375" s="36" t="s">
        <v>3323</v>
      </c>
      <c r="C375" s="35">
        <v>1337</v>
      </c>
      <c r="D375" s="36">
        <v>1337</v>
      </c>
      <c r="E375" s="37">
        <v>1E-8</v>
      </c>
      <c r="F375" s="38">
        <v>4.4655399999999999E-5</v>
      </c>
      <c r="G375" s="39">
        <v>2688.24</v>
      </c>
      <c r="H375" s="39">
        <v>1039219</v>
      </c>
      <c r="I375" s="40">
        <v>23271965570</v>
      </c>
      <c r="J375" s="40">
        <v>23271965570</v>
      </c>
      <c r="K375" s="46">
        <v>-6.68</v>
      </c>
      <c r="L375" s="46">
        <v>-16.03</v>
      </c>
      <c r="M375" s="46">
        <v>-34.21</v>
      </c>
      <c r="N375" s="36">
        <v>371</v>
      </c>
      <c r="O375" s="41">
        <v>42998.867638888885</v>
      </c>
    </row>
    <row r="376" spans="2:15" x14ac:dyDescent="0.25">
      <c r="B376" s="36" t="s">
        <v>2553</v>
      </c>
      <c r="C376" s="35" t="s">
        <v>439</v>
      </c>
      <c r="D376" s="36" t="s">
        <v>1494</v>
      </c>
      <c r="E376" s="37">
        <v>1.6609E-4</v>
      </c>
      <c r="F376" s="38">
        <v>0.65960700000000005</v>
      </c>
      <c r="G376" s="39">
        <v>76098.600000000006</v>
      </c>
      <c r="H376" s="39">
        <v>1027007</v>
      </c>
      <c r="I376" s="40">
        <v>1556999</v>
      </c>
      <c r="J376" s="40">
        <v>10445888</v>
      </c>
      <c r="K376" s="46">
        <v>-14.37</v>
      </c>
      <c r="L376" s="46">
        <v>5.71</v>
      </c>
      <c r="M376" s="46">
        <v>283.97000000000003</v>
      </c>
      <c r="N376" s="36">
        <v>372</v>
      </c>
      <c r="O376" s="41">
        <v>42998.867928240739</v>
      </c>
    </row>
    <row r="377" spans="2:15" x14ac:dyDescent="0.25">
      <c r="B377" s="36" t="s">
        <v>2476</v>
      </c>
      <c r="C377" s="35" t="s">
        <v>377</v>
      </c>
      <c r="D377" s="36" t="s">
        <v>1438</v>
      </c>
      <c r="E377" s="37">
        <v>1.44E-4</v>
      </c>
      <c r="F377" s="38">
        <v>0.57188600000000001</v>
      </c>
      <c r="G377" s="39">
        <v>13374.9</v>
      </c>
      <c r="H377" s="39">
        <v>1019297</v>
      </c>
      <c r="I377" s="40">
        <v>1782342</v>
      </c>
      <c r="J377" s="40">
        <v>1782342</v>
      </c>
      <c r="K377" s="46">
        <v>0.05</v>
      </c>
      <c r="L377" s="46">
        <v>3.14</v>
      </c>
      <c r="M377" s="46">
        <v>2.9</v>
      </c>
      <c r="N377" s="36">
        <v>373</v>
      </c>
      <c r="O377" s="41">
        <v>42998.867546296293</v>
      </c>
    </row>
    <row r="378" spans="2:15" x14ac:dyDescent="0.25">
      <c r="B378" s="36" t="s">
        <v>2469</v>
      </c>
      <c r="C378" s="35" t="s">
        <v>366</v>
      </c>
      <c r="D378" s="36" t="s">
        <v>1427</v>
      </c>
      <c r="E378" s="37">
        <v>2E-8</v>
      </c>
      <c r="F378" s="38">
        <v>6.8460200000000006E-5</v>
      </c>
      <c r="G378" s="39">
        <v>1420.06</v>
      </c>
      <c r="H378" s="39">
        <v>1016441</v>
      </c>
      <c r="I378" s="40">
        <v>14847176004</v>
      </c>
      <c r="J378" s="40">
        <v>14847176004</v>
      </c>
      <c r="K378" s="46">
        <v>-1.74</v>
      </c>
      <c r="L378" s="46">
        <v>30.59</v>
      </c>
      <c r="M378" s="46">
        <v>-4.8899999999999997</v>
      </c>
      <c r="N378" s="36">
        <v>374</v>
      </c>
      <c r="O378" s="41">
        <v>42998.867581018516</v>
      </c>
    </row>
    <row r="379" spans="2:15" x14ac:dyDescent="0.25">
      <c r="B379" s="36" t="s">
        <v>2464</v>
      </c>
      <c r="C379" s="35" t="s">
        <v>323</v>
      </c>
      <c r="D379" s="36">
        <v>808</v>
      </c>
      <c r="E379" s="37">
        <v>2.8000000000000002E-7</v>
      </c>
      <c r="F379" s="38">
        <v>1.1123999999999999E-3</v>
      </c>
      <c r="G379" s="39">
        <v>10870.2</v>
      </c>
      <c r="H379" s="39">
        <v>1012979</v>
      </c>
      <c r="I379" s="40">
        <v>910624824</v>
      </c>
      <c r="J379" s="40">
        <v>910624824</v>
      </c>
      <c r="K379" s="46">
        <v>-3.49</v>
      </c>
      <c r="L379" s="46">
        <v>-4.4400000000000004</v>
      </c>
      <c r="M379" s="46">
        <v>-20.41</v>
      </c>
      <c r="N379" s="36">
        <v>375</v>
      </c>
      <c r="O379" s="41">
        <v>42998.867719907408</v>
      </c>
    </row>
    <row r="380" spans="2:15" x14ac:dyDescent="0.25">
      <c r="B380" s="36" t="s">
        <v>2499</v>
      </c>
      <c r="C380" s="35" t="s">
        <v>389</v>
      </c>
      <c r="D380" s="36" t="s">
        <v>1449</v>
      </c>
      <c r="E380" s="37">
        <v>1.5119999999999999E-5</v>
      </c>
      <c r="F380" s="38">
        <v>5.9990700000000001E-2</v>
      </c>
      <c r="G380" s="39">
        <v>3056.55</v>
      </c>
      <c r="H380" s="39">
        <v>1009208</v>
      </c>
      <c r="I380" s="40">
        <v>16822736</v>
      </c>
      <c r="J380" s="40">
        <v>40000000</v>
      </c>
      <c r="K380" s="46">
        <v>-0.28000000000000003</v>
      </c>
      <c r="L380" s="46">
        <v>3.98</v>
      </c>
      <c r="M380" s="46">
        <v>0.34</v>
      </c>
      <c r="N380" s="36">
        <v>376</v>
      </c>
      <c r="O380" s="41">
        <v>42998.86451388889</v>
      </c>
    </row>
    <row r="381" spans="2:15" x14ac:dyDescent="0.25">
      <c r="B381" s="36" t="s">
        <v>2479</v>
      </c>
      <c r="C381" s="35" t="s">
        <v>380</v>
      </c>
      <c r="D381" s="36" t="s">
        <v>1441</v>
      </c>
      <c r="E381" s="37">
        <v>1.9300000000000002E-6</v>
      </c>
      <c r="F381" s="38">
        <v>7.6840399999999996E-3</v>
      </c>
      <c r="G381" s="39">
        <v>1826.81</v>
      </c>
      <c r="H381" s="39">
        <v>957564</v>
      </c>
      <c r="I381" s="40">
        <v>124617295</v>
      </c>
      <c r="J381" s="40">
        <v>124617295</v>
      </c>
      <c r="K381" s="46">
        <v>-1.79</v>
      </c>
      <c r="L381" s="46">
        <v>6.11</v>
      </c>
      <c r="M381" s="46">
        <v>5.82</v>
      </c>
      <c r="N381" s="36">
        <v>377</v>
      </c>
      <c r="O381" s="41">
        <v>42998.867407407408</v>
      </c>
    </row>
    <row r="382" spans="2:15" x14ac:dyDescent="0.25">
      <c r="B382" s="36" t="s">
        <v>2529</v>
      </c>
      <c r="C382" s="35" t="s">
        <v>420</v>
      </c>
      <c r="D382" s="36" t="s">
        <v>1476</v>
      </c>
      <c r="E382" s="37">
        <v>2.5080000000000002E-4</v>
      </c>
      <c r="F382" s="38">
        <v>0.996035</v>
      </c>
      <c r="G382" s="39">
        <v>135394</v>
      </c>
      <c r="H382" s="39">
        <v>957113</v>
      </c>
      <c r="I382" s="40">
        <v>960923</v>
      </c>
      <c r="J382" s="40">
        <v>2341519</v>
      </c>
      <c r="K382" s="46">
        <v>0.53</v>
      </c>
      <c r="L382" s="46">
        <v>-0.22</v>
      </c>
      <c r="M382" s="46">
        <v>-0.21</v>
      </c>
      <c r="N382" s="36">
        <v>378</v>
      </c>
      <c r="O382" s="41">
        <v>42998.867511574077</v>
      </c>
    </row>
    <row r="383" spans="2:15" x14ac:dyDescent="0.25">
      <c r="B383" s="36" t="s">
        <v>2488</v>
      </c>
      <c r="C383" s="35" t="s">
        <v>387</v>
      </c>
      <c r="D383" s="36" t="s">
        <v>1447</v>
      </c>
      <c r="E383" s="37">
        <v>1.4075000000000001E-4</v>
      </c>
      <c r="F383" s="38">
        <v>0.55899299999999996</v>
      </c>
      <c r="G383" s="39">
        <v>31997.3</v>
      </c>
      <c r="H383" s="39">
        <v>935410</v>
      </c>
      <c r="I383" s="40">
        <v>1673383</v>
      </c>
      <c r="J383" s="40">
        <v>1673383</v>
      </c>
      <c r="K383" s="46">
        <v>-1.1599999999999999</v>
      </c>
      <c r="L383" s="46">
        <v>3.75</v>
      </c>
      <c r="M383" s="46">
        <v>5.86</v>
      </c>
      <c r="N383" s="36">
        <v>379</v>
      </c>
      <c r="O383" s="41">
        <v>42998.867673611108</v>
      </c>
    </row>
    <row r="384" spans="2:15" x14ac:dyDescent="0.25">
      <c r="B384" s="36" t="s">
        <v>2471</v>
      </c>
      <c r="C384" s="35" t="s">
        <v>376</v>
      </c>
      <c r="D384" s="36" t="s">
        <v>1437</v>
      </c>
      <c r="E384" s="37">
        <v>6.99E-6</v>
      </c>
      <c r="F384" s="38">
        <v>2.7765999999999999E-2</v>
      </c>
      <c r="G384" s="39">
        <v>4485.9799999999996</v>
      </c>
      <c r="H384" s="39">
        <v>926165</v>
      </c>
      <c r="I384" s="40">
        <v>33356077</v>
      </c>
      <c r="J384" s="40">
        <v>33356077</v>
      </c>
      <c r="K384" s="46">
        <v>-1.06</v>
      </c>
      <c r="L384" s="46">
        <v>-13.24</v>
      </c>
      <c r="M384" s="46">
        <v>6.39</v>
      </c>
      <c r="N384" s="36">
        <v>380</v>
      </c>
      <c r="O384" s="41">
        <v>42998.867847222224</v>
      </c>
    </row>
    <row r="385" spans="2:15" x14ac:dyDescent="0.25">
      <c r="B385" s="36" t="s">
        <v>2968</v>
      </c>
      <c r="C385" s="35" t="s">
        <v>877</v>
      </c>
      <c r="D385" s="36" t="s">
        <v>1915</v>
      </c>
      <c r="E385" s="37">
        <v>4.439E-5</v>
      </c>
      <c r="F385" s="38">
        <v>0.176144</v>
      </c>
      <c r="G385" s="39">
        <v>2350.19</v>
      </c>
      <c r="H385" s="39">
        <v>901559</v>
      </c>
      <c r="I385" s="40">
        <v>5118307</v>
      </c>
      <c r="J385" s="40">
        <v>6428932</v>
      </c>
      <c r="K385" s="46">
        <v>-0.67</v>
      </c>
      <c r="L385" s="46">
        <v>9.09</v>
      </c>
      <c r="M385" s="46">
        <v>-35</v>
      </c>
      <c r="N385" s="36">
        <v>381</v>
      </c>
      <c r="O385" s="41">
        <v>42998.864525462966</v>
      </c>
    </row>
    <row r="386" spans="2:15" x14ac:dyDescent="0.25">
      <c r="B386" s="36" t="s">
        <v>2484</v>
      </c>
      <c r="C386" s="35" t="s">
        <v>386</v>
      </c>
      <c r="D386" s="36" t="s">
        <v>1446</v>
      </c>
      <c r="E386" s="37">
        <v>2.2249999999999999E-5</v>
      </c>
      <c r="F386" s="38">
        <v>8.8381699999999994E-2</v>
      </c>
      <c r="G386" s="39">
        <v>1467.52</v>
      </c>
      <c r="H386" s="39">
        <v>883817</v>
      </c>
      <c r="I386" s="40">
        <v>10000000</v>
      </c>
      <c r="J386" s="40">
        <v>10000000</v>
      </c>
      <c r="K386" s="46">
        <v>-1.92</v>
      </c>
      <c r="L386" s="46">
        <v>16.53</v>
      </c>
      <c r="M386" s="46">
        <v>19.62</v>
      </c>
      <c r="N386" s="36">
        <v>382</v>
      </c>
      <c r="O386" s="41">
        <v>42998.867939814816</v>
      </c>
    </row>
    <row r="387" spans="2:15" x14ac:dyDescent="0.25">
      <c r="B387" s="36" t="s">
        <v>2487</v>
      </c>
      <c r="C387" s="35" t="s">
        <v>378</v>
      </c>
      <c r="D387" s="36" t="s">
        <v>1439</v>
      </c>
      <c r="E387" s="37">
        <v>3.7E-7</v>
      </c>
      <c r="F387" s="38">
        <v>1.4694300000000001E-3</v>
      </c>
      <c r="G387" s="39">
        <v>626.1</v>
      </c>
      <c r="H387" s="39">
        <v>847868</v>
      </c>
      <c r="I387" s="40">
        <v>577004618</v>
      </c>
      <c r="J387" s="40">
        <v>886395300</v>
      </c>
      <c r="K387" s="46">
        <v>2.73</v>
      </c>
      <c r="L387" s="46">
        <v>52.26</v>
      </c>
      <c r="M387" s="46">
        <v>45.67</v>
      </c>
      <c r="N387" s="36">
        <v>383</v>
      </c>
      <c r="O387" s="41">
        <v>42998.8675</v>
      </c>
    </row>
    <row r="388" spans="2:15" x14ac:dyDescent="0.25">
      <c r="B388" s="36" t="s">
        <v>2572</v>
      </c>
      <c r="C388" s="35" t="s">
        <v>470</v>
      </c>
      <c r="D388" s="36" t="s">
        <v>1524</v>
      </c>
      <c r="E388" s="37">
        <v>1.08E-6</v>
      </c>
      <c r="F388" s="38">
        <v>4.2858599999999998E-3</v>
      </c>
      <c r="G388" s="39">
        <v>72057.3</v>
      </c>
      <c r="H388" s="39">
        <v>813156</v>
      </c>
      <c r="I388" s="40">
        <v>189729990</v>
      </c>
      <c r="J388" s="40">
        <v>10189729990</v>
      </c>
      <c r="K388" s="46">
        <v>-0.65</v>
      </c>
      <c r="L388" s="46">
        <v>-16.09</v>
      </c>
      <c r="M388" s="46">
        <v>2.15</v>
      </c>
      <c r="N388" s="36">
        <v>384</v>
      </c>
      <c r="O388" s="41">
        <v>42998.867685185185</v>
      </c>
    </row>
    <row r="389" spans="2:15" x14ac:dyDescent="0.25">
      <c r="B389" s="36" t="s">
        <v>2474</v>
      </c>
      <c r="C389" s="35" t="s">
        <v>369</v>
      </c>
      <c r="D389" s="36" t="s">
        <v>1430</v>
      </c>
      <c r="E389" s="37">
        <v>1.5999999999999999E-6</v>
      </c>
      <c r="F389" s="38">
        <v>6.3523599999999996E-3</v>
      </c>
      <c r="G389" s="39">
        <v>2030.15</v>
      </c>
      <c r="H389" s="39">
        <v>800397</v>
      </c>
      <c r="I389" s="40">
        <v>126000000</v>
      </c>
      <c r="J389" s="40">
        <v>126000000</v>
      </c>
      <c r="K389" s="46">
        <v>5.93</v>
      </c>
      <c r="L389" s="46">
        <v>0.88</v>
      </c>
      <c r="M389" s="46">
        <v>3.33</v>
      </c>
      <c r="N389" s="36">
        <v>385</v>
      </c>
      <c r="O389" s="41">
        <v>42998.867407407408</v>
      </c>
    </row>
    <row r="390" spans="2:15" x14ac:dyDescent="0.25">
      <c r="B390" s="36" t="s">
        <v>2467</v>
      </c>
      <c r="C390" s="35" t="s">
        <v>368</v>
      </c>
      <c r="D390" s="36" t="s">
        <v>1429</v>
      </c>
      <c r="E390" s="37">
        <v>4.935E-5</v>
      </c>
      <c r="F390" s="38">
        <v>0.19598099999999999</v>
      </c>
      <c r="G390" s="39">
        <v>7004.19</v>
      </c>
      <c r="H390" s="39">
        <v>769188</v>
      </c>
      <c r="I390" s="40">
        <v>3924807</v>
      </c>
      <c r="J390" s="40">
        <v>3924807</v>
      </c>
      <c r="K390" s="46">
        <v>-0.16</v>
      </c>
      <c r="L390" s="46">
        <v>-0.41</v>
      </c>
      <c r="M390" s="46">
        <v>-20.96</v>
      </c>
      <c r="N390" s="36">
        <v>386</v>
      </c>
      <c r="O390" s="41">
        <v>42998.867824074077</v>
      </c>
    </row>
    <row r="391" spans="2:15" x14ac:dyDescent="0.25">
      <c r="B391" s="36" t="s">
        <v>2483</v>
      </c>
      <c r="C391" s="35" t="s">
        <v>381</v>
      </c>
      <c r="D391" s="36" t="s">
        <v>1442</v>
      </c>
      <c r="E391" s="37">
        <v>3.9999999999999998E-6</v>
      </c>
      <c r="F391" s="38">
        <v>1.5886000000000001E-2</v>
      </c>
      <c r="G391" s="39">
        <v>1803.65</v>
      </c>
      <c r="H391" s="39">
        <v>743240</v>
      </c>
      <c r="I391" s="40">
        <v>46785866</v>
      </c>
      <c r="J391" s="40">
        <v>46785866</v>
      </c>
      <c r="K391" s="46">
        <v>13.92</v>
      </c>
      <c r="L391" s="46">
        <v>5.12</v>
      </c>
      <c r="M391" s="46">
        <v>4.8499999999999996</v>
      </c>
      <c r="N391" s="36">
        <v>387</v>
      </c>
      <c r="O391" s="41">
        <v>42998.867615740739</v>
      </c>
    </row>
    <row r="392" spans="2:15" x14ac:dyDescent="0.25">
      <c r="B392" s="36" t="s">
        <v>2344</v>
      </c>
      <c r="C392" s="35" t="s">
        <v>240</v>
      </c>
      <c r="D392" s="36" t="s">
        <v>1304</v>
      </c>
      <c r="E392" s="37">
        <v>1.9099999999999999E-6</v>
      </c>
      <c r="F392" s="38">
        <v>7.6052000000000003E-3</v>
      </c>
      <c r="G392" s="39">
        <v>129704</v>
      </c>
      <c r="H392" s="39">
        <v>722494</v>
      </c>
      <c r="I392" s="40">
        <v>95000000</v>
      </c>
      <c r="J392" s="40">
        <v>100000000</v>
      </c>
      <c r="K392" s="46">
        <v>-2.2799999999999998</v>
      </c>
      <c r="L392" s="46">
        <v>-26.95</v>
      </c>
      <c r="M392" s="46">
        <v>-61.76</v>
      </c>
      <c r="N392" s="36">
        <v>388</v>
      </c>
      <c r="O392" s="41">
        <v>42998.86791666667</v>
      </c>
    </row>
    <row r="393" spans="2:15" x14ac:dyDescent="0.25">
      <c r="B393" s="36" t="s">
        <v>2534</v>
      </c>
      <c r="C393" s="35" t="s">
        <v>432</v>
      </c>
      <c r="D393" s="36" t="s">
        <v>1488</v>
      </c>
      <c r="E393" s="37">
        <v>1.3210000000000001E-5</v>
      </c>
      <c r="F393" s="38">
        <v>5.2454800000000003E-2</v>
      </c>
      <c r="G393" s="39">
        <v>10466.299999999999</v>
      </c>
      <c r="H393" s="39">
        <v>717453</v>
      </c>
      <c r="I393" s="40">
        <v>13677550</v>
      </c>
      <c r="J393" s="40">
        <v>13677550</v>
      </c>
      <c r="K393" s="46">
        <v>1.68</v>
      </c>
      <c r="L393" s="46">
        <v>17.3</v>
      </c>
      <c r="M393" s="46">
        <v>42.35</v>
      </c>
      <c r="N393" s="36">
        <v>389</v>
      </c>
      <c r="O393" s="41">
        <v>42998.867812500001</v>
      </c>
    </row>
    <row r="394" spans="2:15" x14ac:dyDescent="0.25">
      <c r="B394" s="36" t="s">
        <v>3228</v>
      </c>
      <c r="C394" s="35" t="s">
        <v>410</v>
      </c>
      <c r="D394" s="36" t="s">
        <v>3229</v>
      </c>
      <c r="E394" s="37">
        <v>1.81E-6</v>
      </c>
      <c r="F394" s="38">
        <v>7.1896399999999997E-3</v>
      </c>
      <c r="G394" s="39">
        <v>8405.85</v>
      </c>
      <c r="H394" s="39">
        <v>711518</v>
      </c>
      <c r="I394" s="40">
        <v>98964274</v>
      </c>
      <c r="J394" s="40">
        <v>130062813</v>
      </c>
      <c r="K394" s="46">
        <v>22.45</v>
      </c>
      <c r="L394" s="46">
        <v>-2.1800000000000002</v>
      </c>
      <c r="M394" s="46">
        <v>12.19</v>
      </c>
      <c r="N394" s="36">
        <v>390</v>
      </c>
      <c r="O394" s="41">
        <v>42998.864537037036</v>
      </c>
    </row>
    <row r="395" spans="2:15" x14ac:dyDescent="0.25">
      <c r="B395" s="36" t="s">
        <v>2394</v>
      </c>
      <c r="C395" s="35" t="s">
        <v>290</v>
      </c>
      <c r="D395" s="36" t="s">
        <v>1353</v>
      </c>
      <c r="E395" s="37">
        <v>1.0699999999999999E-6</v>
      </c>
      <c r="F395" s="38">
        <v>4.26275E-3</v>
      </c>
      <c r="G395" s="39">
        <v>537.67399999999998</v>
      </c>
      <c r="H395" s="39">
        <v>710527</v>
      </c>
      <c r="I395" s="40">
        <v>166682699</v>
      </c>
      <c r="J395" s="40">
        <v>166682699</v>
      </c>
      <c r="K395" s="46">
        <v>0.68</v>
      </c>
      <c r="L395" s="46">
        <v>8.83</v>
      </c>
      <c r="M395" s="46">
        <v>5.41</v>
      </c>
      <c r="N395" s="36">
        <v>391</v>
      </c>
      <c r="O395" s="41">
        <v>42998.867384259262</v>
      </c>
    </row>
    <row r="396" spans="2:15" x14ac:dyDescent="0.25">
      <c r="B396" s="36" t="s">
        <v>2531</v>
      </c>
      <c r="C396" s="35" t="s">
        <v>421</v>
      </c>
      <c r="D396" s="36" t="s">
        <v>1477</v>
      </c>
      <c r="E396" s="37">
        <v>5.2924599999999997E-3</v>
      </c>
      <c r="F396" s="38">
        <v>21.018599999999999</v>
      </c>
      <c r="G396" s="39">
        <v>69381.100000000006</v>
      </c>
      <c r="H396" s="39">
        <v>672595</v>
      </c>
      <c r="I396" s="40">
        <v>32000</v>
      </c>
      <c r="J396" s="40">
        <v>9999992</v>
      </c>
      <c r="K396" s="46">
        <v>-8.8699999999999992</v>
      </c>
      <c r="L396" s="46">
        <v>-33.11</v>
      </c>
      <c r="M396" s="46">
        <v>28.86</v>
      </c>
      <c r="N396" s="36">
        <v>392</v>
      </c>
      <c r="O396" s="41">
        <v>42998.867905092593</v>
      </c>
    </row>
    <row r="397" spans="2:15" x14ac:dyDescent="0.25">
      <c r="B397" s="36" t="s">
        <v>2463</v>
      </c>
      <c r="C397" s="35" t="s">
        <v>364</v>
      </c>
      <c r="D397" s="36" t="s">
        <v>1425</v>
      </c>
      <c r="E397" s="37">
        <v>5.0000000000000001E-9</v>
      </c>
      <c r="F397" s="38">
        <v>2.0560500000000001E-5</v>
      </c>
      <c r="G397" s="39">
        <v>701.33799999999997</v>
      </c>
      <c r="H397" s="39">
        <v>668523</v>
      </c>
      <c r="I397" s="40">
        <v>32514916898</v>
      </c>
      <c r="J397" s="40">
        <v>32514916898</v>
      </c>
      <c r="K397" s="46">
        <v>1.33</v>
      </c>
      <c r="L397" s="46">
        <v>-47.19</v>
      </c>
      <c r="M397" s="46">
        <v>-28.75</v>
      </c>
      <c r="N397" s="36">
        <v>393</v>
      </c>
      <c r="O397" s="41">
        <v>42998.867465277777</v>
      </c>
    </row>
    <row r="398" spans="2:15" x14ac:dyDescent="0.25">
      <c r="B398" s="36" t="s">
        <v>2630</v>
      </c>
      <c r="C398" s="35" t="s">
        <v>512</v>
      </c>
      <c r="D398" s="36" t="s">
        <v>1567</v>
      </c>
      <c r="E398" s="37">
        <v>1.17E-5</v>
      </c>
      <c r="F398" s="38">
        <v>4.6465699999999999E-2</v>
      </c>
      <c r="G398" s="39">
        <v>245968</v>
      </c>
      <c r="H398" s="39">
        <v>658931</v>
      </c>
      <c r="I398" s="40">
        <v>14181030</v>
      </c>
      <c r="J398" s="40">
        <v>103181030</v>
      </c>
      <c r="K398" s="46">
        <v>-1.75</v>
      </c>
      <c r="L398" s="46">
        <v>93.77</v>
      </c>
      <c r="M398" s="46">
        <v>292.33</v>
      </c>
      <c r="N398" s="36">
        <v>394</v>
      </c>
      <c r="O398" s="41">
        <v>42998.867951388886</v>
      </c>
    </row>
    <row r="399" spans="2:15" x14ac:dyDescent="0.25">
      <c r="B399" s="36" t="s">
        <v>2492</v>
      </c>
      <c r="C399" s="35" t="s">
        <v>388</v>
      </c>
      <c r="D399" s="36" t="s">
        <v>1448</v>
      </c>
      <c r="E399" s="37">
        <v>4.2589999999999997E-5</v>
      </c>
      <c r="F399" s="38">
        <v>0.16914299999999999</v>
      </c>
      <c r="G399" s="39">
        <v>1926.64</v>
      </c>
      <c r="H399" s="39">
        <v>651203</v>
      </c>
      <c r="I399" s="40">
        <v>3850015</v>
      </c>
      <c r="J399" s="40">
        <v>3850015</v>
      </c>
      <c r="K399" s="46">
        <v>0.53</v>
      </c>
      <c r="L399" s="46">
        <v>-5.81</v>
      </c>
      <c r="M399" s="46">
        <v>-11.39</v>
      </c>
      <c r="N399" s="36">
        <v>395</v>
      </c>
      <c r="O399" s="41">
        <v>42998.867881944447</v>
      </c>
    </row>
    <row r="400" spans="2:15" x14ac:dyDescent="0.25">
      <c r="B400" s="36" t="s">
        <v>2389</v>
      </c>
      <c r="C400" s="35" t="s">
        <v>288</v>
      </c>
      <c r="D400" s="36" t="s">
        <v>1351</v>
      </c>
      <c r="E400" s="37">
        <v>4.4999999999999998E-7</v>
      </c>
      <c r="F400" s="38">
        <v>1.79612E-3</v>
      </c>
      <c r="G400" s="39">
        <v>671868</v>
      </c>
      <c r="H400" s="39">
        <v>645333</v>
      </c>
      <c r="I400" s="40">
        <v>359292829</v>
      </c>
      <c r="J400" s="40">
        <v>359292829</v>
      </c>
      <c r="K400" s="46">
        <v>1.72</v>
      </c>
      <c r="L400" s="46">
        <v>-40.54</v>
      </c>
      <c r="M400" s="46">
        <v>-58.58</v>
      </c>
      <c r="N400" s="36">
        <v>396</v>
      </c>
      <c r="O400" s="41">
        <v>42998.867534722223</v>
      </c>
    </row>
    <row r="401" spans="2:15" x14ac:dyDescent="0.25">
      <c r="B401" s="36" t="s">
        <v>2482</v>
      </c>
      <c r="C401" s="35" t="s">
        <v>379</v>
      </c>
      <c r="D401" s="36" t="s">
        <v>1440</v>
      </c>
      <c r="E401" s="37">
        <v>3.6399999999999999E-6</v>
      </c>
      <c r="F401" s="38">
        <v>1.44584E-2</v>
      </c>
      <c r="G401" s="39">
        <v>2698.9</v>
      </c>
      <c r="H401" s="39">
        <v>639754</v>
      </c>
      <c r="I401" s="40">
        <v>44247941</v>
      </c>
      <c r="J401" s="40">
        <v>44247941</v>
      </c>
      <c r="K401" s="46">
        <v>-2.36</v>
      </c>
      <c r="L401" s="46">
        <v>37.1</v>
      </c>
      <c r="M401" s="46">
        <v>14.6</v>
      </c>
      <c r="N401" s="36">
        <v>397</v>
      </c>
      <c r="O401" s="41">
        <v>42998.868009259262</v>
      </c>
    </row>
    <row r="402" spans="2:15" x14ac:dyDescent="0.25">
      <c r="B402" s="36" t="s">
        <v>2533</v>
      </c>
      <c r="C402" s="35" t="s">
        <v>422</v>
      </c>
      <c r="D402" s="36" t="s">
        <v>1478</v>
      </c>
      <c r="E402" s="37">
        <v>1.0499E-4</v>
      </c>
      <c r="F402" s="38">
        <v>0.41696</v>
      </c>
      <c r="G402" s="39">
        <v>4964.57</v>
      </c>
      <c r="H402" s="39">
        <v>638082</v>
      </c>
      <c r="I402" s="40">
        <v>1530319</v>
      </c>
      <c r="J402" s="40">
        <v>1530319</v>
      </c>
      <c r="K402" s="46">
        <v>-1.0900000000000001</v>
      </c>
      <c r="L402" s="46">
        <v>-0.75</v>
      </c>
      <c r="M402" s="46">
        <v>-7.75</v>
      </c>
      <c r="N402" s="36">
        <v>398</v>
      </c>
      <c r="O402" s="41">
        <v>42998.867951388886</v>
      </c>
    </row>
    <row r="403" spans="2:15" x14ac:dyDescent="0.25">
      <c r="B403" s="36" t="s">
        <v>2496</v>
      </c>
      <c r="C403" s="35" t="s">
        <v>402</v>
      </c>
      <c r="D403" s="36" t="s">
        <v>1461</v>
      </c>
      <c r="E403" s="37">
        <v>1.5659999999999999E-5</v>
      </c>
      <c r="F403" s="38">
        <v>6.21851E-2</v>
      </c>
      <c r="G403" s="39">
        <v>1178.5999999999999</v>
      </c>
      <c r="H403" s="39">
        <v>621665</v>
      </c>
      <c r="I403" s="40">
        <v>9997009</v>
      </c>
      <c r="J403" s="40">
        <v>10000000</v>
      </c>
      <c r="K403" s="46">
        <v>-0.6</v>
      </c>
      <c r="L403" s="46">
        <v>-2.67</v>
      </c>
      <c r="M403" s="46">
        <v>12.9</v>
      </c>
      <c r="N403" s="36">
        <v>399</v>
      </c>
      <c r="O403" s="41">
        <v>42998.867905092593</v>
      </c>
    </row>
    <row r="404" spans="2:15" x14ac:dyDescent="0.25">
      <c r="B404" s="36" t="s">
        <v>2415</v>
      </c>
      <c r="C404" s="35" t="s">
        <v>307</v>
      </c>
      <c r="D404" s="36" t="s">
        <v>1369</v>
      </c>
      <c r="E404" s="37">
        <v>6.1399999999999997E-6</v>
      </c>
      <c r="F404" s="38">
        <v>2.4367E-2</v>
      </c>
      <c r="G404" s="39">
        <v>36972.9</v>
      </c>
      <c r="H404" s="39">
        <v>609376</v>
      </c>
      <c r="I404" s="40">
        <v>25008253</v>
      </c>
      <c r="J404" s="40">
        <v>105008253</v>
      </c>
      <c r="K404" s="46">
        <v>0</v>
      </c>
      <c r="L404" s="46">
        <v>-22.32</v>
      </c>
      <c r="M404" s="46">
        <v>-29.7</v>
      </c>
      <c r="N404" s="36">
        <v>400</v>
      </c>
      <c r="O404" s="41">
        <v>42998.864525462966</v>
      </c>
    </row>
    <row r="405" spans="2:15" x14ac:dyDescent="0.25">
      <c r="B405" s="36" t="s">
        <v>2543</v>
      </c>
      <c r="C405" s="35" t="s">
        <v>428</v>
      </c>
      <c r="D405" s="36" t="s">
        <v>1484</v>
      </c>
      <c r="E405" s="37">
        <v>1.501E-5</v>
      </c>
      <c r="F405" s="38">
        <v>5.9611200000000003E-2</v>
      </c>
      <c r="G405" s="39">
        <v>1133.3599999999999</v>
      </c>
      <c r="H405" s="39">
        <v>603285</v>
      </c>
      <c r="I405" s="40">
        <v>10120330</v>
      </c>
      <c r="J405" s="40">
        <v>11120330</v>
      </c>
      <c r="K405" s="46">
        <v>-0.05</v>
      </c>
      <c r="L405" s="46">
        <v>-13.62</v>
      </c>
      <c r="M405" s="46">
        <v>-4.5</v>
      </c>
      <c r="N405" s="36">
        <v>401</v>
      </c>
      <c r="O405" s="41">
        <v>42998.868009259262</v>
      </c>
    </row>
    <row r="406" spans="2:15" x14ac:dyDescent="0.25">
      <c r="B406" s="36" t="s">
        <v>2502</v>
      </c>
      <c r="C406" s="35" t="s">
        <v>397</v>
      </c>
      <c r="D406" s="36" t="s">
        <v>1456</v>
      </c>
      <c r="E406" s="37">
        <v>2.0760000000000001E-5</v>
      </c>
      <c r="F406" s="38">
        <v>8.2460400000000003E-2</v>
      </c>
      <c r="G406" s="39">
        <v>9422.15</v>
      </c>
      <c r="H406" s="39">
        <v>601103</v>
      </c>
      <c r="I406" s="40">
        <v>7289600</v>
      </c>
      <c r="J406" s="40">
        <v>8289600</v>
      </c>
      <c r="K406" s="46">
        <v>2.72</v>
      </c>
      <c r="L406" s="46">
        <v>-6.99</v>
      </c>
      <c r="M406" s="46">
        <v>-2.5299999999999998</v>
      </c>
      <c r="N406" s="36">
        <v>402</v>
      </c>
      <c r="O406" s="41">
        <v>42998.867951388886</v>
      </c>
    </row>
    <row r="407" spans="2:15" x14ac:dyDescent="0.25">
      <c r="B407" s="36" t="s">
        <v>2361</v>
      </c>
      <c r="C407" s="35" t="s">
        <v>253</v>
      </c>
      <c r="D407" s="36" t="s">
        <v>1317</v>
      </c>
      <c r="E407" s="37">
        <v>5.9999999999999997E-7</v>
      </c>
      <c r="F407" s="38">
        <v>2.37514E-3</v>
      </c>
      <c r="G407" s="39">
        <v>53597.3</v>
      </c>
      <c r="H407" s="39">
        <v>597706</v>
      </c>
      <c r="I407" s="40">
        <v>251650746</v>
      </c>
      <c r="J407" s="40">
        <v>251650746</v>
      </c>
      <c r="K407" s="46">
        <v>0.6</v>
      </c>
      <c r="L407" s="46">
        <v>-43.76</v>
      </c>
      <c r="M407" s="46">
        <v>-69.760000000000005</v>
      </c>
      <c r="N407" s="36">
        <v>403</v>
      </c>
      <c r="O407" s="41">
        <v>42998.867407407408</v>
      </c>
    </row>
    <row r="408" spans="2:15" x14ac:dyDescent="0.25">
      <c r="B408" s="36" t="s">
        <v>2503</v>
      </c>
      <c r="C408" s="35" t="s">
        <v>404</v>
      </c>
      <c r="D408" s="36" t="s">
        <v>1462</v>
      </c>
      <c r="E408" s="37">
        <v>6.5560000000000002E-5</v>
      </c>
      <c r="F408" s="38">
        <v>0.26036700000000002</v>
      </c>
      <c r="G408" s="39">
        <v>76944</v>
      </c>
      <c r="H408" s="39">
        <v>593155</v>
      </c>
      <c r="I408" s="40">
        <v>2278150</v>
      </c>
      <c r="J408" s="40">
        <v>2278150</v>
      </c>
      <c r="K408" s="46">
        <v>-6.63</v>
      </c>
      <c r="L408" s="46">
        <v>9.18</v>
      </c>
      <c r="M408" s="46">
        <v>20.260000000000002</v>
      </c>
      <c r="N408" s="36">
        <v>404</v>
      </c>
      <c r="O408" s="41">
        <v>42998.8675</v>
      </c>
    </row>
    <row r="409" spans="2:15" x14ac:dyDescent="0.25">
      <c r="B409" s="36" t="s">
        <v>2501</v>
      </c>
      <c r="C409" s="35" t="s">
        <v>401</v>
      </c>
      <c r="D409" s="36" t="s">
        <v>1460</v>
      </c>
      <c r="E409" s="37">
        <v>8.2600000000000005E-6</v>
      </c>
      <c r="F409" s="38">
        <v>3.2787799999999999E-2</v>
      </c>
      <c r="G409" s="39">
        <v>6560.41</v>
      </c>
      <c r="H409" s="39">
        <v>580770</v>
      </c>
      <c r="I409" s="40">
        <v>17712984</v>
      </c>
      <c r="J409" s="40">
        <v>17712984</v>
      </c>
      <c r="K409" s="46">
        <v>-2.64</v>
      </c>
      <c r="L409" s="46">
        <v>4.24</v>
      </c>
      <c r="M409" s="46">
        <v>3.7</v>
      </c>
      <c r="N409" s="36">
        <v>405</v>
      </c>
      <c r="O409" s="41">
        <v>42998.867939814816</v>
      </c>
    </row>
    <row r="410" spans="2:15" x14ac:dyDescent="0.25">
      <c r="B410" s="36" t="s">
        <v>2513</v>
      </c>
      <c r="C410" s="35" t="s">
        <v>407</v>
      </c>
      <c r="D410" s="36" t="s">
        <v>1465</v>
      </c>
      <c r="E410" s="37">
        <v>1.596E-5</v>
      </c>
      <c r="F410" s="38">
        <v>6.3367000000000007E-2</v>
      </c>
      <c r="G410" s="39">
        <v>1943.52</v>
      </c>
      <c r="H410" s="39">
        <v>578842</v>
      </c>
      <c r="I410" s="40">
        <v>9134750</v>
      </c>
      <c r="J410" s="40">
        <v>10669343</v>
      </c>
      <c r="K410" s="46">
        <v>-0.19</v>
      </c>
      <c r="L410" s="46">
        <v>22.69</v>
      </c>
      <c r="M410" s="46">
        <v>-10.07</v>
      </c>
      <c r="N410" s="36">
        <v>406</v>
      </c>
      <c r="O410" s="41">
        <v>42998.867858796293</v>
      </c>
    </row>
    <row r="411" spans="2:15" x14ac:dyDescent="0.25">
      <c r="B411" s="36" t="s">
        <v>2587</v>
      </c>
      <c r="C411" s="35" t="s">
        <v>464</v>
      </c>
      <c r="D411" s="36" t="s">
        <v>1519</v>
      </c>
      <c r="E411" s="37">
        <v>7.3589E-4</v>
      </c>
      <c r="F411" s="38">
        <v>2.9225500000000002</v>
      </c>
      <c r="G411" s="39">
        <v>12464.4</v>
      </c>
      <c r="H411" s="39">
        <v>570930</v>
      </c>
      <c r="I411" s="40">
        <v>195353</v>
      </c>
      <c r="J411" s="40">
        <v>195353</v>
      </c>
      <c r="K411" s="46">
        <v>1.01</v>
      </c>
      <c r="L411" s="46">
        <v>-0.39</v>
      </c>
      <c r="M411" s="46">
        <v>282.25</v>
      </c>
      <c r="N411" s="36">
        <v>407</v>
      </c>
      <c r="O411" s="41">
        <v>42998.867627314816</v>
      </c>
    </row>
    <row r="412" spans="2:15" x14ac:dyDescent="0.25">
      <c r="B412" s="36" t="s">
        <v>2478</v>
      </c>
      <c r="C412" s="35" t="s">
        <v>384</v>
      </c>
      <c r="D412" s="36" t="s">
        <v>1444</v>
      </c>
      <c r="E412" s="37">
        <v>2.3E-5</v>
      </c>
      <c r="F412" s="38">
        <v>9.1342900000000005E-2</v>
      </c>
      <c r="G412" s="39">
        <v>3374.28</v>
      </c>
      <c r="H412" s="39">
        <v>565429</v>
      </c>
      <c r="I412" s="40">
        <v>6190179</v>
      </c>
      <c r="J412" s="40">
        <v>6190179</v>
      </c>
      <c r="K412" s="46">
        <v>-0.77</v>
      </c>
      <c r="L412" s="46">
        <v>-10.31</v>
      </c>
      <c r="M412" s="46">
        <v>-26.22</v>
      </c>
      <c r="N412" s="36">
        <v>408</v>
      </c>
      <c r="O412" s="41">
        <v>42998.867511574077</v>
      </c>
    </row>
    <row r="413" spans="2:15" x14ac:dyDescent="0.25">
      <c r="B413" s="36" t="s">
        <v>2508</v>
      </c>
      <c r="C413" s="35" t="s">
        <v>410</v>
      </c>
      <c r="D413" s="36" t="s">
        <v>1468</v>
      </c>
      <c r="E413" s="37">
        <v>1.3200000000000001E-6</v>
      </c>
      <c r="F413" s="38">
        <v>5.2373999999999997E-3</v>
      </c>
      <c r="G413" s="39">
        <v>1741.35</v>
      </c>
      <c r="H413" s="39">
        <v>560593</v>
      </c>
      <c r="I413" s="40">
        <v>107036420</v>
      </c>
      <c r="J413" s="40">
        <v>107036420</v>
      </c>
      <c r="K413" s="46">
        <v>-0.04</v>
      </c>
      <c r="L413" s="46">
        <v>10.43</v>
      </c>
      <c r="M413" s="46">
        <v>-32.03</v>
      </c>
      <c r="N413" s="36">
        <v>409</v>
      </c>
      <c r="O413" s="41">
        <v>42998.867893518516</v>
      </c>
    </row>
    <row r="414" spans="2:15" x14ac:dyDescent="0.25">
      <c r="B414" s="36" t="s">
        <v>2521</v>
      </c>
      <c r="C414" s="35" t="s">
        <v>396</v>
      </c>
      <c r="D414" s="36" t="s">
        <v>1455</v>
      </c>
      <c r="E414" s="37">
        <v>1.084E-5</v>
      </c>
      <c r="F414" s="38">
        <v>4.30549E-2</v>
      </c>
      <c r="G414" s="39">
        <v>2907.56</v>
      </c>
      <c r="H414" s="39">
        <v>551757</v>
      </c>
      <c r="I414" s="40">
        <v>12815205</v>
      </c>
      <c r="J414" s="40">
        <v>15002081295</v>
      </c>
      <c r="K414" s="46">
        <v>5.08</v>
      </c>
      <c r="L414" s="46">
        <v>5.9</v>
      </c>
      <c r="M414" s="46">
        <v>-5.3</v>
      </c>
      <c r="N414" s="36">
        <v>410</v>
      </c>
      <c r="O414" s="41">
        <v>42998.867905092593</v>
      </c>
    </row>
    <row r="415" spans="2:15" x14ac:dyDescent="0.25">
      <c r="B415" s="36" t="s">
        <v>2673</v>
      </c>
      <c r="C415" s="35" t="s">
        <v>563</v>
      </c>
      <c r="D415" s="36" t="s">
        <v>1617</v>
      </c>
      <c r="E415" s="37">
        <v>1.3799999999999999E-6</v>
      </c>
      <c r="F415" s="38">
        <v>5.4805699999999997E-3</v>
      </c>
      <c r="G415" s="39">
        <v>1418.89</v>
      </c>
      <c r="H415" s="39">
        <v>548057</v>
      </c>
      <c r="I415" s="40">
        <v>100000000</v>
      </c>
      <c r="J415" s="40">
        <v>100000000</v>
      </c>
      <c r="K415" s="46">
        <v>-0.05</v>
      </c>
      <c r="L415" s="46">
        <v>17.88</v>
      </c>
      <c r="M415" s="46">
        <v>27.86</v>
      </c>
      <c r="N415" s="36">
        <v>411</v>
      </c>
      <c r="O415" s="41">
        <v>42998.867812500001</v>
      </c>
    </row>
    <row r="416" spans="2:15" x14ac:dyDescent="0.25">
      <c r="B416" s="36" t="s">
        <v>2337</v>
      </c>
      <c r="C416" s="35" t="s">
        <v>235</v>
      </c>
      <c r="D416" s="36" t="s">
        <v>1299</v>
      </c>
      <c r="E416" s="37">
        <v>1.13E-6</v>
      </c>
      <c r="F416" s="38">
        <v>4.49732E-3</v>
      </c>
      <c r="G416" s="39">
        <v>96525.6</v>
      </c>
      <c r="H416" s="39">
        <v>518591</v>
      </c>
      <c r="I416" s="40">
        <v>115311099</v>
      </c>
      <c r="J416" s="40">
        <v>115311099</v>
      </c>
      <c r="K416" s="46">
        <v>3.96</v>
      </c>
      <c r="L416" s="46">
        <v>-46.21</v>
      </c>
      <c r="M416" s="46">
        <v>-74.150000000000006</v>
      </c>
      <c r="N416" s="36">
        <v>412</v>
      </c>
      <c r="O416" s="41">
        <v>42998.867395833331</v>
      </c>
    </row>
    <row r="417" spans="2:15" x14ac:dyDescent="0.25">
      <c r="B417" s="36" t="s">
        <v>2485</v>
      </c>
      <c r="C417" s="35" t="s">
        <v>391</v>
      </c>
      <c r="D417" s="36" t="s">
        <v>1450</v>
      </c>
      <c r="E417" s="37">
        <v>1.8099999999999999E-5</v>
      </c>
      <c r="F417" s="38">
        <v>7.1893700000000005E-2</v>
      </c>
      <c r="G417" s="39">
        <v>1552.69</v>
      </c>
      <c r="H417" s="39">
        <v>514053</v>
      </c>
      <c r="I417" s="40">
        <v>7150176</v>
      </c>
      <c r="J417" s="40">
        <v>7150176</v>
      </c>
      <c r="K417" s="46">
        <v>1.99</v>
      </c>
      <c r="L417" s="46">
        <v>-6.44</v>
      </c>
      <c r="M417" s="46">
        <v>-3.01</v>
      </c>
      <c r="N417" s="36">
        <v>413</v>
      </c>
      <c r="O417" s="41">
        <v>42998.867650462962</v>
      </c>
    </row>
    <row r="418" spans="2:15" x14ac:dyDescent="0.25">
      <c r="B418" s="36" t="s">
        <v>2536</v>
      </c>
      <c r="C418" s="35" t="s">
        <v>570</v>
      </c>
      <c r="D418" s="36" t="s">
        <v>1623</v>
      </c>
      <c r="E418" s="37">
        <v>3.6032199999999999E-3</v>
      </c>
      <c r="F418" s="38">
        <v>14.309900000000001</v>
      </c>
      <c r="G418" s="39">
        <v>835.03499999999997</v>
      </c>
      <c r="H418" s="39">
        <v>491021</v>
      </c>
      <c r="I418" s="40">
        <v>34313</v>
      </c>
      <c r="J418" s="40">
        <v>34313</v>
      </c>
      <c r="K418" s="46">
        <v>-0.05</v>
      </c>
      <c r="L418" s="46">
        <v>5.54</v>
      </c>
      <c r="M418" s="46">
        <v>27.09</v>
      </c>
      <c r="N418" s="36">
        <v>414</v>
      </c>
      <c r="O418" s="41">
        <v>42998.867395833331</v>
      </c>
    </row>
    <row r="419" spans="2:15" x14ac:dyDescent="0.25">
      <c r="B419" s="36" t="s">
        <v>2523</v>
      </c>
      <c r="C419" s="35" t="s">
        <v>411</v>
      </c>
      <c r="D419" s="36" t="s">
        <v>1469</v>
      </c>
      <c r="E419" s="37">
        <v>1.1000000000000001E-7</v>
      </c>
      <c r="F419" s="38">
        <v>4.4190700000000001E-4</v>
      </c>
      <c r="G419" s="39">
        <v>1166.9100000000001</v>
      </c>
      <c r="H419" s="39">
        <v>487885</v>
      </c>
      <c r="I419" s="40">
        <v>1104044871</v>
      </c>
      <c r="J419" s="40">
        <v>1104044871</v>
      </c>
      <c r="K419" s="46">
        <v>5.09</v>
      </c>
      <c r="L419" s="46">
        <v>-3.6</v>
      </c>
      <c r="M419" s="46">
        <v>-5.94</v>
      </c>
      <c r="N419" s="36">
        <v>415</v>
      </c>
      <c r="O419" s="41">
        <v>42998.867592592593</v>
      </c>
    </row>
    <row r="420" spans="2:15" x14ac:dyDescent="0.25">
      <c r="B420" s="36" t="s">
        <v>2369</v>
      </c>
      <c r="C420" s="35" t="s">
        <v>265</v>
      </c>
      <c r="D420" s="36" t="s">
        <v>1329</v>
      </c>
      <c r="E420" s="37">
        <v>3.41E-6</v>
      </c>
      <c r="F420" s="38">
        <v>1.3532499999999999E-2</v>
      </c>
      <c r="G420" s="39">
        <v>153720</v>
      </c>
      <c r="H420" s="39">
        <v>445036</v>
      </c>
      <c r="I420" s="40">
        <v>32886450</v>
      </c>
      <c r="J420" s="40">
        <v>32886450</v>
      </c>
      <c r="K420" s="46">
        <v>0.56000000000000005</v>
      </c>
      <c r="L420" s="46">
        <v>-42.65</v>
      </c>
      <c r="M420" s="46">
        <v>-76.260000000000005</v>
      </c>
      <c r="N420" s="36">
        <v>416</v>
      </c>
      <c r="O420" s="41">
        <v>42998.867407407408</v>
      </c>
    </row>
    <row r="421" spans="2:15" x14ac:dyDescent="0.25">
      <c r="B421" s="36" t="s">
        <v>2549</v>
      </c>
      <c r="C421" s="35" t="s">
        <v>549</v>
      </c>
      <c r="D421" s="36" t="s">
        <v>1603</v>
      </c>
      <c r="E421" s="37">
        <v>1.1060000000000001E-5</v>
      </c>
      <c r="F421" s="38">
        <v>4.3922799999999998E-2</v>
      </c>
      <c r="G421" s="39">
        <v>6215.63</v>
      </c>
      <c r="H421" s="39">
        <v>444131</v>
      </c>
      <c r="I421" s="40">
        <v>10111621</v>
      </c>
      <c r="J421" s="40">
        <v>10112344</v>
      </c>
      <c r="K421" s="46">
        <v>-0.72</v>
      </c>
      <c r="L421" s="46">
        <v>11.56</v>
      </c>
      <c r="M421" s="46">
        <v>18.04</v>
      </c>
      <c r="N421" s="36">
        <v>417</v>
      </c>
      <c r="O421" s="41">
        <v>42998.86791666667</v>
      </c>
    </row>
    <row r="422" spans="2:15" x14ac:dyDescent="0.25">
      <c r="B422" s="36" t="s">
        <v>2520</v>
      </c>
      <c r="C422" s="35" t="s">
        <v>403</v>
      </c>
      <c r="D422" s="36" t="s">
        <v>1250</v>
      </c>
      <c r="E422" s="37">
        <v>1.4000000000000001E-7</v>
      </c>
      <c r="F422" s="38">
        <v>5.5690399999999999E-4</v>
      </c>
      <c r="G422" s="39">
        <v>704.95799999999997</v>
      </c>
      <c r="H422" s="39">
        <v>438354</v>
      </c>
      <c r="I422" s="40">
        <v>787126712</v>
      </c>
      <c r="J422" s="40">
        <v>787126712</v>
      </c>
      <c r="K422" s="46">
        <v>-3.49</v>
      </c>
      <c r="L422" s="46">
        <v>-2.48</v>
      </c>
      <c r="M422" s="46">
        <v>5.53</v>
      </c>
      <c r="N422" s="36">
        <v>418</v>
      </c>
      <c r="O422" s="41">
        <v>42998.867418981485</v>
      </c>
    </row>
    <row r="423" spans="2:15" x14ac:dyDescent="0.25">
      <c r="B423" s="36" t="s">
        <v>2445</v>
      </c>
      <c r="C423" s="35" t="s">
        <v>341</v>
      </c>
      <c r="D423" s="36" t="s">
        <v>1402</v>
      </c>
      <c r="E423" s="37">
        <v>1.9179999999999999E-5</v>
      </c>
      <c r="F423" s="38">
        <v>7.6158699999999996E-2</v>
      </c>
      <c r="G423" s="39">
        <v>64697.2</v>
      </c>
      <c r="H423" s="39">
        <v>436340</v>
      </c>
      <c r="I423" s="40">
        <v>5729347</v>
      </c>
      <c r="J423" s="40">
        <v>5729347</v>
      </c>
      <c r="K423" s="46">
        <v>-0.03</v>
      </c>
      <c r="L423" s="46">
        <v>-37.020000000000003</v>
      </c>
      <c r="M423" s="46">
        <v>-58.21</v>
      </c>
      <c r="N423" s="36">
        <v>419</v>
      </c>
      <c r="O423" s="41">
        <v>42998.867407407408</v>
      </c>
    </row>
    <row r="424" spans="2:15" x14ac:dyDescent="0.25">
      <c r="B424" s="36" t="s">
        <v>2539</v>
      </c>
      <c r="C424" s="35" t="s">
        <v>425</v>
      </c>
      <c r="D424" s="36" t="s">
        <v>1481</v>
      </c>
      <c r="E424" s="37">
        <v>2.478E-5</v>
      </c>
      <c r="F424" s="38">
        <v>9.8403400000000002E-2</v>
      </c>
      <c r="G424" s="39">
        <v>9041.07</v>
      </c>
      <c r="H424" s="39">
        <v>429634</v>
      </c>
      <c r="I424" s="40">
        <v>4366051</v>
      </c>
      <c r="J424" s="40">
        <v>4366051</v>
      </c>
      <c r="K424" s="46">
        <v>0.08</v>
      </c>
      <c r="L424" s="46">
        <v>0.1</v>
      </c>
      <c r="M424" s="46">
        <v>8.52</v>
      </c>
      <c r="N424" s="36">
        <v>420</v>
      </c>
      <c r="O424" s="41">
        <v>42998.867743055554</v>
      </c>
    </row>
    <row r="425" spans="2:15" x14ac:dyDescent="0.25">
      <c r="B425" s="36" t="s">
        <v>2514</v>
      </c>
      <c r="C425" s="35" t="s">
        <v>409</v>
      </c>
      <c r="D425" s="36" t="s">
        <v>1467</v>
      </c>
      <c r="E425" s="37">
        <v>8.0000000000000002E-8</v>
      </c>
      <c r="F425" s="38">
        <v>3.1774100000000002E-4</v>
      </c>
      <c r="G425" s="39">
        <v>1613.38</v>
      </c>
      <c r="H425" s="39">
        <v>403724</v>
      </c>
      <c r="I425" s="40">
        <v>1270606343</v>
      </c>
      <c r="J425" s="40">
        <v>1270606343</v>
      </c>
      <c r="K425" s="46">
        <v>-0.05</v>
      </c>
      <c r="L425" s="46">
        <v>-9.77</v>
      </c>
      <c r="M425" s="46">
        <v>-13.39</v>
      </c>
      <c r="N425" s="36">
        <v>421</v>
      </c>
      <c r="O425" s="41">
        <v>42998.867939814816</v>
      </c>
    </row>
    <row r="426" spans="2:15" x14ac:dyDescent="0.25">
      <c r="B426" s="36" t="s">
        <v>2593</v>
      </c>
      <c r="C426" s="35" t="s">
        <v>617</v>
      </c>
      <c r="D426" s="36" t="s">
        <v>1668</v>
      </c>
      <c r="E426" s="37">
        <v>5.0949999999999998E-5</v>
      </c>
      <c r="F426" s="38">
        <v>0.20233000000000001</v>
      </c>
      <c r="G426" s="39">
        <v>132543</v>
      </c>
      <c r="H426" s="39">
        <v>389778</v>
      </c>
      <c r="I426" s="40">
        <v>1926447</v>
      </c>
      <c r="J426" s="40">
        <v>1926447</v>
      </c>
      <c r="K426" s="46">
        <v>1.87</v>
      </c>
      <c r="L426" s="46">
        <v>-50.25</v>
      </c>
      <c r="M426" s="46">
        <v>-61.15</v>
      </c>
      <c r="N426" s="36">
        <v>422</v>
      </c>
      <c r="O426" s="41">
        <v>42998.867743055554</v>
      </c>
    </row>
    <row r="427" spans="2:15" x14ac:dyDescent="0.25">
      <c r="B427" s="36" t="s">
        <v>2524</v>
      </c>
      <c r="C427" s="35" t="s">
        <v>416</v>
      </c>
      <c r="D427" s="36" t="s">
        <v>1473</v>
      </c>
      <c r="E427" s="37">
        <v>6.0900000000000001E-6</v>
      </c>
      <c r="F427" s="38">
        <v>2.4187400000000001E-2</v>
      </c>
      <c r="G427" s="39">
        <v>1628.1</v>
      </c>
      <c r="H427" s="39">
        <v>383811</v>
      </c>
      <c r="I427" s="40">
        <v>15868233</v>
      </c>
      <c r="J427" s="40">
        <v>15868233</v>
      </c>
      <c r="K427" s="46">
        <v>0.87</v>
      </c>
      <c r="L427" s="46">
        <v>3.1</v>
      </c>
      <c r="M427" s="46">
        <v>-0.89</v>
      </c>
      <c r="N427" s="36">
        <v>423</v>
      </c>
      <c r="O427" s="41">
        <v>42998.867673611108</v>
      </c>
    </row>
    <row r="428" spans="2:15" x14ac:dyDescent="0.25">
      <c r="B428" s="36" t="s">
        <v>2512</v>
      </c>
      <c r="C428" s="35" t="s">
        <v>415</v>
      </c>
      <c r="D428" s="36" t="s">
        <v>1472</v>
      </c>
      <c r="E428" s="37">
        <v>6.9099999999999999E-6</v>
      </c>
      <c r="F428" s="38">
        <v>2.74107E-2</v>
      </c>
      <c r="G428" s="39">
        <v>3316.1</v>
      </c>
      <c r="H428" s="39">
        <v>352605</v>
      </c>
      <c r="I428" s="40">
        <v>12863786</v>
      </c>
      <c r="J428" s="40">
        <v>12863786</v>
      </c>
      <c r="K428" s="46">
        <v>-2.7</v>
      </c>
      <c r="L428" s="46">
        <v>-3.9</v>
      </c>
      <c r="M428" s="46">
        <v>-21.42</v>
      </c>
      <c r="N428" s="36">
        <v>424</v>
      </c>
      <c r="O428" s="41">
        <v>42998.864525462966</v>
      </c>
    </row>
    <row r="429" spans="2:15" x14ac:dyDescent="0.25">
      <c r="B429" s="36" t="s">
        <v>2547</v>
      </c>
      <c r="C429" s="35" t="s">
        <v>441</v>
      </c>
      <c r="D429" s="36" t="s">
        <v>1496</v>
      </c>
      <c r="E429" s="37">
        <v>5.7510000000000003E-5</v>
      </c>
      <c r="F429" s="38">
        <v>0.22839699999999999</v>
      </c>
      <c r="G429" s="39">
        <v>5016.0200000000004</v>
      </c>
      <c r="H429" s="39">
        <v>350761</v>
      </c>
      <c r="I429" s="40">
        <v>1535750</v>
      </c>
      <c r="J429" s="40">
        <v>1535750</v>
      </c>
      <c r="K429" s="46">
        <v>-0.04</v>
      </c>
      <c r="L429" s="46">
        <v>0.9</v>
      </c>
      <c r="M429" s="46">
        <v>31.33</v>
      </c>
      <c r="N429" s="36">
        <v>425</v>
      </c>
      <c r="O429" s="41">
        <v>42998.867847222224</v>
      </c>
    </row>
    <row r="430" spans="2:15" x14ac:dyDescent="0.25">
      <c r="B430" s="36" t="s">
        <v>2732</v>
      </c>
      <c r="C430" s="35" t="s">
        <v>626</v>
      </c>
      <c r="D430" s="36" t="s">
        <v>1675</v>
      </c>
      <c r="E430" s="37">
        <v>1.35E-6</v>
      </c>
      <c r="F430" s="38">
        <v>5.3648999999999997E-3</v>
      </c>
      <c r="G430" s="39">
        <v>9674.11</v>
      </c>
      <c r="H430" s="39">
        <v>343318</v>
      </c>
      <c r="I430" s="40">
        <v>63993275</v>
      </c>
      <c r="J430" s="40">
        <v>63993275</v>
      </c>
      <c r="K430" s="46">
        <v>-8.6999999999999993</v>
      </c>
      <c r="L430" s="46">
        <v>-31.01</v>
      </c>
      <c r="M430" s="46">
        <v>206.9</v>
      </c>
      <c r="N430" s="36">
        <v>426</v>
      </c>
      <c r="O430" s="41">
        <v>42998.867476851854</v>
      </c>
    </row>
    <row r="431" spans="2:15" x14ac:dyDescent="0.25">
      <c r="B431" s="36" t="s">
        <v>2991</v>
      </c>
      <c r="C431" s="35" t="s">
        <v>902</v>
      </c>
      <c r="D431" s="36" t="s">
        <v>1936</v>
      </c>
      <c r="E431" s="37">
        <v>3.6100000000000002E-6</v>
      </c>
      <c r="F431" s="38">
        <v>1.43234E-2</v>
      </c>
      <c r="G431" s="39">
        <v>2574.44</v>
      </c>
      <c r="H431" s="39">
        <v>341912</v>
      </c>
      <c r="I431" s="40">
        <v>23870835</v>
      </c>
      <c r="J431" s="40">
        <v>23870835</v>
      </c>
      <c r="K431" s="46">
        <v>-18.61</v>
      </c>
      <c r="L431" s="46">
        <v>-18.96</v>
      </c>
      <c r="M431" s="46">
        <v>-14.57</v>
      </c>
      <c r="N431" s="36">
        <v>427</v>
      </c>
      <c r="O431" s="41">
        <v>42998.867974537039</v>
      </c>
    </row>
    <row r="432" spans="2:15" x14ac:dyDescent="0.25">
      <c r="B432" s="36" t="s">
        <v>2399</v>
      </c>
      <c r="C432" s="35" t="s">
        <v>287</v>
      </c>
      <c r="D432" s="36" t="s">
        <v>1350</v>
      </c>
      <c r="E432" s="37">
        <v>1.3799999999999999E-6</v>
      </c>
      <c r="F432" s="38">
        <v>5.4757399999999998E-3</v>
      </c>
      <c r="G432" s="39">
        <v>110043</v>
      </c>
      <c r="H432" s="39">
        <v>337618</v>
      </c>
      <c r="I432" s="40">
        <v>61657044</v>
      </c>
      <c r="J432" s="40">
        <v>61657044</v>
      </c>
      <c r="K432" s="46">
        <v>-4.8499999999999996</v>
      </c>
      <c r="L432" s="46">
        <v>-29.71</v>
      </c>
      <c r="M432" s="46">
        <v>-70.27</v>
      </c>
      <c r="N432" s="36">
        <v>428</v>
      </c>
      <c r="O432" s="41">
        <v>42998.867905092593</v>
      </c>
    </row>
    <row r="433" spans="2:15" x14ac:dyDescent="0.25">
      <c r="B433" s="36" t="s">
        <v>2544</v>
      </c>
      <c r="C433" s="35" t="s">
        <v>435</v>
      </c>
      <c r="D433" s="36" t="s">
        <v>1491</v>
      </c>
      <c r="E433" s="37">
        <v>7.0970000000000007E-5</v>
      </c>
      <c r="F433" s="38">
        <v>0.28186099999999997</v>
      </c>
      <c r="G433" s="39">
        <v>1146.54</v>
      </c>
      <c r="H433" s="39">
        <v>328203</v>
      </c>
      <c r="I433" s="40">
        <v>1164415</v>
      </c>
      <c r="J433" s="40">
        <v>1164415</v>
      </c>
      <c r="K433" s="46">
        <v>-0.67</v>
      </c>
      <c r="L433" s="46">
        <v>-0.5</v>
      </c>
      <c r="M433" s="46">
        <v>-6.29</v>
      </c>
      <c r="N433" s="36">
        <v>429</v>
      </c>
      <c r="O433" s="41">
        <v>42998.867569444446</v>
      </c>
    </row>
    <row r="434" spans="2:15" x14ac:dyDescent="0.25">
      <c r="B434" s="36" t="s">
        <v>2570</v>
      </c>
      <c r="C434" s="35" t="s">
        <v>454</v>
      </c>
      <c r="D434" s="36" t="s">
        <v>1509</v>
      </c>
      <c r="E434" s="37">
        <v>1.0000000000000001E-9</v>
      </c>
      <c r="F434" s="38">
        <v>5.4877E-6</v>
      </c>
      <c r="G434" s="39">
        <v>1216.3599999999999</v>
      </c>
      <c r="H434" s="39">
        <v>327724</v>
      </c>
      <c r="I434" s="40">
        <v>59719935819</v>
      </c>
      <c r="J434" s="40">
        <v>59719935819</v>
      </c>
      <c r="K434" s="46">
        <v>-0.22</v>
      </c>
      <c r="L434" s="46">
        <v>86.49</v>
      </c>
      <c r="M434" s="46">
        <v>32.840000000000003</v>
      </c>
      <c r="N434" s="36">
        <v>430</v>
      </c>
      <c r="O434" s="41">
        <v>42998.867488425924</v>
      </c>
    </row>
    <row r="435" spans="2:15" x14ac:dyDescent="0.25">
      <c r="B435" s="36" t="s">
        <v>2522</v>
      </c>
      <c r="C435" s="35" t="s">
        <v>417</v>
      </c>
      <c r="D435" s="36" t="s">
        <v>1474</v>
      </c>
      <c r="E435" s="37">
        <v>1.6300000000000001E-6</v>
      </c>
      <c r="F435" s="42">
        <v>6.4785600000000004E-3</v>
      </c>
      <c r="G435" s="39">
        <v>640.04899999999998</v>
      </c>
      <c r="H435" s="39">
        <v>323928</v>
      </c>
      <c r="I435" s="40">
        <v>50000000</v>
      </c>
      <c r="J435" s="40">
        <v>100000000</v>
      </c>
      <c r="K435" s="46">
        <v>-0.03</v>
      </c>
      <c r="L435" s="46">
        <v>-34.47</v>
      </c>
      <c r="M435" s="46">
        <v>-18.309999999999999</v>
      </c>
      <c r="N435" s="36">
        <v>431</v>
      </c>
      <c r="O435" s="41">
        <v>42998.867708333331</v>
      </c>
    </row>
    <row r="436" spans="2:15" x14ac:dyDescent="0.25">
      <c r="B436" s="36" t="s">
        <v>2682</v>
      </c>
      <c r="C436" s="35" t="s">
        <v>442</v>
      </c>
      <c r="D436" s="36" t="s">
        <v>1497</v>
      </c>
      <c r="E436" s="37">
        <v>5.9999999999999995E-8</v>
      </c>
      <c r="F436" s="38">
        <v>2.3815899999999999E-4</v>
      </c>
      <c r="G436" s="39">
        <v>677.62599999999998</v>
      </c>
      <c r="H436" s="39">
        <v>311377</v>
      </c>
      <c r="I436" s="40">
        <v>1307433431</v>
      </c>
      <c r="J436" s="40">
        <v>1307433431</v>
      </c>
      <c r="K436" s="46">
        <v>-0.05</v>
      </c>
      <c r="L436" s="46">
        <v>-0.08</v>
      </c>
      <c r="M436" s="46">
        <v>-0.99</v>
      </c>
      <c r="N436" s="36">
        <v>432</v>
      </c>
      <c r="O436" s="41">
        <v>42998.8674537037</v>
      </c>
    </row>
    <row r="437" spans="2:15" x14ac:dyDescent="0.25">
      <c r="B437" s="36" t="s">
        <v>2530</v>
      </c>
      <c r="C437" s="35" t="s">
        <v>418</v>
      </c>
      <c r="D437" s="36" t="s">
        <v>1475</v>
      </c>
      <c r="E437" s="37">
        <v>1.509E-5</v>
      </c>
      <c r="F437" s="38">
        <v>5.9868900000000003E-2</v>
      </c>
      <c r="G437" s="39">
        <v>512.15300000000002</v>
      </c>
      <c r="H437" s="39">
        <v>299345</v>
      </c>
      <c r="I437" s="40">
        <v>5000000</v>
      </c>
      <c r="J437" s="40">
        <v>30000000</v>
      </c>
      <c r="K437" s="46">
        <v>-0.27</v>
      </c>
      <c r="L437" s="46">
        <v>4.8600000000000003</v>
      </c>
      <c r="M437" s="46">
        <v>-4.42</v>
      </c>
      <c r="N437" s="36">
        <v>433</v>
      </c>
      <c r="O437" s="41">
        <v>42998.86451388889</v>
      </c>
    </row>
    <row r="438" spans="2:15" x14ac:dyDescent="0.25">
      <c r="B438" s="36" t="s">
        <v>436</v>
      </c>
      <c r="C438" s="35" t="s">
        <v>436</v>
      </c>
      <c r="D438" s="36">
        <v>42</v>
      </c>
      <c r="E438" s="37">
        <v>1.6461300000000001</v>
      </c>
      <c r="F438" s="38">
        <v>6537.5</v>
      </c>
      <c r="G438" s="39">
        <v>2857.92</v>
      </c>
      <c r="H438" s="39">
        <v>274575</v>
      </c>
      <c r="I438" s="40">
        <v>42</v>
      </c>
      <c r="J438" s="40">
        <v>42</v>
      </c>
      <c r="K438" s="46">
        <v>0.9</v>
      </c>
      <c r="L438" s="46">
        <v>-19.670000000000002</v>
      </c>
      <c r="M438" s="46">
        <v>-20.05</v>
      </c>
      <c r="N438" s="36">
        <v>434</v>
      </c>
      <c r="O438" s="41">
        <v>42998.867430555554</v>
      </c>
    </row>
    <row r="439" spans="2:15" x14ac:dyDescent="0.25">
      <c r="B439" s="36" t="s">
        <v>2552</v>
      </c>
      <c r="C439" s="35" t="s">
        <v>444</v>
      </c>
      <c r="D439" s="36" t="s">
        <v>1500</v>
      </c>
      <c r="E439" s="37">
        <v>5.4E-6</v>
      </c>
      <c r="F439" s="42">
        <v>2.1450299999999999E-2</v>
      </c>
      <c r="G439" s="39">
        <v>2511.4</v>
      </c>
      <c r="H439" s="39">
        <v>257675</v>
      </c>
      <c r="I439" s="40">
        <v>12012656</v>
      </c>
      <c r="J439" s="40">
        <v>12012656</v>
      </c>
      <c r="K439" s="46">
        <v>0.41</v>
      </c>
      <c r="L439" s="46">
        <v>9.0500000000000007</v>
      </c>
      <c r="M439" s="46">
        <v>-10.91</v>
      </c>
      <c r="N439" s="36">
        <v>435</v>
      </c>
      <c r="O439" s="41">
        <v>42998.867824074077</v>
      </c>
    </row>
    <row r="440" spans="2:15" x14ac:dyDescent="0.25">
      <c r="B440" s="36" t="s">
        <v>2526</v>
      </c>
      <c r="C440" s="35" t="s">
        <v>427</v>
      </c>
      <c r="D440" s="36" t="s">
        <v>1483</v>
      </c>
      <c r="E440" s="37">
        <v>2.1799999999999999E-6</v>
      </c>
      <c r="F440" s="38">
        <v>8.6577200000000007E-3</v>
      </c>
      <c r="G440" s="39">
        <v>1865.09</v>
      </c>
      <c r="H440" s="39">
        <v>253824</v>
      </c>
      <c r="I440" s="40">
        <v>29317654</v>
      </c>
      <c r="J440" s="40">
        <v>29317654</v>
      </c>
      <c r="K440" s="46">
        <v>19.29</v>
      </c>
      <c r="L440" s="46">
        <v>-10.119999999999999</v>
      </c>
      <c r="M440" s="46">
        <v>-2.8</v>
      </c>
      <c r="N440" s="36">
        <v>436</v>
      </c>
      <c r="O440" s="41">
        <v>42998.867881944447</v>
      </c>
    </row>
    <row r="441" spans="2:15" x14ac:dyDescent="0.25">
      <c r="B441" s="36" t="s">
        <v>2605</v>
      </c>
      <c r="C441" s="35" t="s">
        <v>641</v>
      </c>
      <c r="D441" s="36" t="s">
        <v>1690</v>
      </c>
      <c r="E441" s="37">
        <v>1.3411E-4</v>
      </c>
      <c r="F441" s="38">
        <v>0.53259400000000001</v>
      </c>
      <c r="G441" s="39">
        <v>26832.2</v>
      </c>
      <c r="H441" s="39">
        <v>245819</v>
      </c>
      <c r="I441" s="40">
        <v>461551</v>
      </c>
      <c r="J441" s="40">
        <v>511212</v>
      </c>
      <c r="K441" s="46">
        <v>-11.99</v>
      </c>
      <c r="L441" s="46">
        <v>107.6</v>
      </c>
      <c r="M441" s="46">
        <v>152.84</v>
      </c>
      <c r="N441" s="36">
        <v>437</v>
      </c>
      <c r="O441" s="41">
        <v>42998.86787037037</v>
      </c>
    </row>
    <row r="442" spans="2:15" x14ac:dyDescent="0.25">
      <c r="B442" s="36" t="s">
        <v>2554</v>
      </c>
      <c r="C442" s="35" t="s">
        <v>446</v>
      </c>
      <c r="D442" s="36" t="s">
        <v>1502</v>
      </c>
      <c r="E442" s="37">
        <v>8.4451999999999997E-4</v>
      </c>
      <c r="F442" s="38">
        <v>3.3539500000000002</v>
      </c>
      <c r="G442" s="39">
        <v>959.94899999999996</v>
      </c>
      <c r="H442" s="39">
        <v>244474</v>
      </c>
      <c r="I442" s="40">
        <v>72891</v>
      </c>
      <c r="J442" s="40">
        <v>72891</v>
      </c>
      <c r="K442" s="46">
        <v>-0.12</v>
      </c>
      <c r="L442" s="46">
        <v>13.69</v>
      </c>
      <c r="M442" s="46">
        <v>23.35</v>
      </c>
      <c r="N442" s="36">
        <v>438</v>
      </c>
      <c r="O442" s="41">
        <v>42998.867488425924</v>
      </c>
    </row>
    <row r="443" spans="2:15" x14ac:dyDescent="0.25">
      <c r="B443" s="36" t="s">
        <v>2517</v>
      </c>
      <c r="C443" s="35" t="s">
        <v>408</v>
      </c>
      <c r="D443" s="36" t="s">
        <v>1466</v>
      </c>
      <c r="E443" s="37">
        <v>3.9029999999999997E-5</v>
      </c>
      <c r="F443" s="38">
        <v>0.155</v>
      </c>
      <c r="G443" s="39">
        <v>6124.91</v>
      </c>
      <c r="H443" s="39">
        <v>243507</v>
      </c>
      <c r="I443" s="40">
        <v>1571013</v>
      </c>
      <c r="J443" s="40">
        <v>2071013</v>
      </c>
      <c r="K443" s="46">
        <v>-0.11</v>
      </c>
      <c r="L443" s="46">
        <v>-30.27</v>
      </c>
      <c r="M443" s="46">
        <v>23.33</v>
      </c>
      <c r="N443" s="36">
        <v>439</v>
      </c>
      <c r="O443" s="41">
        <v>42998.867928240739</v>
      </c>
    </row>
    <row r="444" spans="2:15" x14ac:dyDescent="0.25">
      <c r="B444" s="36" t="s">
        <v>2550</v>
      </c>
      <c r="C444" s="35" t="s">
        <v>445</v>
      </c>
      <c r="D444" s="36" t="s">
        <v>1501</v>
      </c>
      <c r="E444" s="37">
        <v>5.3399999999999997E-6</v>
      </c>
      <c r="F444" s="38">
        <v>2.12023E-2</v>
      </c>
      <c r="G444" s="39">
        <v>1261.0899999999999</v>
      </c>
      <c r="H444" s="39">
        <v>237656</v>
      </c>
      <c r="I444" s="40">
        <v>11208967</v>
      </c>
      <c r="J444" s="40">
        <v>20935289</v>
      </c>
      <c r="K444" s="46">
        <v>-0.88</v>
      </c>
      <c r="L444" s="46">
        <v>1.44</v>
      </c>
      <c r="M444" s="46">
        <v>5.05</v>
      </c>
      <c r="N444" s="36">
        <v>440</v>
      </c>
      <c r="O444" s="41">
        <v>42998.867824074077</v>
      </c>
    </row>
    <row r="445" spans="2:15" x14ac:dyDescent="0.25">
      <c r="B445" s="36" t="s">
        <v>2555</v>
      </c>
      <c r="C445" s="35" t="s">
        <v>437</v>
      </c>
      <c r="D445" s="36" t="s">
        <v>1492</v>
      </c>
      <c r="E445" s="37">
        <v>2.9900000000000002E-6</v>
      </c>
      <c r="F445" s="42">
        <v>1.18789E-2</v>
      </c>
      <c r="G445" s="39">
        <v>1199.52</v>
      </c>
      <c r="H445" s="39">
        <v>236752</v>
      </c>
      <c r="I445" s="40">
        <v>19930450</v>
      </c>
      <c r="J445" s="40">
        <v>19930450</v>
      </c>
      <c r="K445" s="46">
        <v>-44</v>
      </c>
      <c r="L445" s="46">
        <v>-43.99</v>
      </c>
      <c r="M445" s="46">
        <v>15.37</v>
      </c>
      <c r="N445" s="36">
        <v>441</v>
      </c>
      <c r="O445" s="41">
        <v>42998.867627314816</v>
      </c>
    </row>
    <row r="446" spans="2:15" x14ac:dyDescent="0.25">
      <c r="B446" s="36" t="s">
        <v>2563</v>
      </c>
      <c r="C446" s="35" t="s">
        <v>451</v>
      </c>
      <c r="D446" s="36" t="s">
        <v>1506</v>
      </c>
      <c r="E446" s="37">
        <v>2.4884000000000001E-4</v>
      </c>
      <c r="F446" s="38">
        <v>0.98824999999999996</v>
      </c>
      <c r="G446" s="39">
        <v>9922.2000000000007</v>
      </c>
      <c r="H446" s="39">
        <v>232655</v>
      </c>
      <c r="I446" s="40">
        <v>235421</v>
      </c>
      <c r="J446" s="40">
        <v>84000000</v>
      </c>
      <c r="K446" s="46">
        <v>-0.05</v>
      </c>
      <c r="L446" s="46">
        <v>1.52</v>
      </c>
      <c r="M446" s="46">
        <v>1.9</v>
      </c>
      <c r="N446" s="36">
        <v>442</v>
      </c>
      <c r="O446" s="41">
        <v>42998.867986111109</v>
      </c>
    </row>
    <row r="447" spans="2:15" x14ac:dyDescent="0.25">
      <c r="B447" s="36" t="s">
        <v>2696</v>
      </c>
      <c r="C447" s="35" t="s">
        <v>590</v>
      </c>
      <c r="D447" s="36" t="s">
        <v>1640</v>
      </c>
      <c r="E447" s="37">
        <v>1.1599999999999999E-6</v>
      </c>
      <c r="F447" s="38">
        <v>4.6091999999999999E-3</v>
      </c>
      <c r="G447" s="39">
        <v>4433.75</v>
      </c>
      <c r="H447" s="39">
        <v>229991</v>
      </c>
      <c r="I447" s="40">
        <v>49898202</v>
      </c>
      <c r="J447" s="40">
        <v>49898202</v>
      </c>
      <c r="K447" s="46">
        <v>-0.04</v>
      </c>
      <c r="L447" s="46">
        <v>9.43</v>
      </c>
      <c r="M447" s="46">
        <v>13.17</v>
      </c>
      <c r="N447" s="36">
        <v>443</v>
      </c>
      <c r="O447" s="41">
        <v>42998.8675</v>
      </c>
    </row>
    <row r="448" spans="2:15" x14ac:dyDescent="0.25">
      <c r="B448" s="36" t="s">
        <v>2585</v>
      </c>
      <c r="C448" s="35" t="s">
        <v>460</v>
      </c>
      <c r="D448" s="36" t="s">
        <v>1515</v>
      </c>
      <c r="E448" s="37">
        <v>5.3000000000000001E-7</v>
      </c>
      <c r="F448" s="38">
        <v>2.1193900000000001E-3</v>
      </c>
      <c r="G448" s="39">
        <v>7468.4</v>
      </c>
      <c r="H448" s="39">
        <v>223847</v>
      </c>
      <c r="I448" s="40">
        <v>105618830</v>
      </c>
      <c r="J448" s="40">
        <v>210000000</v>
      </c>
      <c r="K448" s="46">
        <v>-1.91</v>
      </c>
      <c r="L448" s="46">
        <v>50.26</v>
      </c>
      <c r="M448" s="46">
        <v>42.61</v>
      </c>
      <c r="N448" s="36">
        <v>444</v>
      </c>
      <c r="O448" s="41">
        <v>42998.867650462962</v>
      </c>
    </row>
    <row r="449" spans="2:15" x14ac:dyDescent="0.25">
      <c r="B449" s="36" t="s">
        <v>2602</v>
      </c>
      <c r="C449" s="35" t="s">
        <v>502</v>
      </c>
      <c r="D449" s="36" t="s">
        <v>1557</v>
      </c>
      <c r="E449" s="37">
        <v>9.7499999999999998E-6</v>
      </c>
      <c r="F449" s="42">
        <v>3.8721400000000003E-2</v>
      </c>
      <c r="G449" s="39">
        <v>873.27099999999996</v>
      </c>
      <c r="H449" s="39">
        <v>201496</v>
      </c>
      <c r="I449" s="40">
        <v>5203745</v>
      </c>
      <c r="J449" s="40">
        <v>6203745</v>
      </c>
      <c r="K449" s="46">
        <v>-0.05</v>
      </c>
      <c r="L449" s="46">
        <v>-2.88</v>
      </c>
      <c r="M449" s="46">
        <v>75.81</v>
      </c>
      <c r="N449" s="36">
        <v>445</v>
      </c>
      <c r="O449" s="41">
        <v>42998.868009259262</v>
      </c>
    </row>
    <row r="450" spans="2:15" x14ac:dyDescent="0.25">
      <c r="B450" s="36" t="s">
        <v>2589</v>
      </c>
      <c r="C450" s="35" t="s">
        <v>644</v>
      </c>
      <c r="D450" s="36" t="s">
        <v>1693</v>
      </c>
      <c r="E450" s="37">
        <v>1.6786000000000001E-4</v>
      </c>
      <c r="F450" s="38">
        <v>0.66665300000000005</v>
      </c>
      <c r="G450" s="39">
        <v>1743.15</v>
      </c>
      <c r="H450" s="39">
        <v>193474</v>
      </c>
      <c r="I450" s="40">
        <v>290217</v>
      </c>
      <c r="J450" s="40">
        <v>290217</v>
      </c>
      <c r="K450" s="46">
        <v>-4.54</v>
      </c>
      <c r="L450" s="46">
        <v>-9.65</v>
      </c>
      <c r="M450" s="46">
        <v>19.63</v>
      </c>
      <c r="N450" s="36">
        <v>446</v>
      </c>
      <c r="O450" s="41">
        <v>42998.867685185185</v>
      </c>
    </row>
    <row r="451" spans="2:15" x14ac:dyDescent="0.25">
      <c r="B451" s="36" t="s">
        <v>2568</v>
      </c>
      <c r="C451" s="35" t="s">
        <v>601</v>
      </c>
      <c r="D451" s="36" t="s">
        <v>1651</v>
      </c>
      <c r="E451" s="37">
        <v>5.9999999999999995E-8</v>
      </c>
      <c r="F451" s="38">
        <v>2.3824E-4</v>
      </c>
      <c r="G451" s="39">
        <v>2116.2199999999998</v>
      </c>
      <c r="H451" s="39">
        <v>192108</v>
      </c>
      <c r="I451" s="40">
        <v>806363472</v>
      </c>
      <c r="J451" s="40">
        <v>806363472</v>
      </c>
      <c r="K451" s="46">
        <v>4.34</v>
      </c>
      <c r="L451" s="46">
        <v>20.47</v>
      </c>
      <c r="M451" s="46">
        <v>1.0900000000000001</v>
      </c>
      <c r="N451" s="36">
        <v>447</v>
      </c>
      <c r="O451" s="41">
        <v>42998.867731481485</v>
      </c>
    </row>
    <row r="452" spans="2:15" x14ac:dyDescent="0.25">
      <c r="B452" s="36" t="s">
        <v>2538</v>
      </c>
      <c r="C452" s="35" t="s">
        <v>426</v>
      </c>
      <c r="D452" s="36" t="s">
        <v>1482</v>
      </c>
      <c r="E452" s="36">
        <v>7.1999999999999999E-7</v>
      </c>
      <c r="F452" s="36">
        <v>2.84359E-3</v>
      </c>
      <c r="G452" s="36">
        <v>675.476</v>
      </c>
      <c r="H452" s="36">
        <v>173162</v>
      </c>
      <c r="I452" s="40">
        <v>60895575</v>
      </c>
      <c r="J452" s="40">
        <v>60895575</v>
      </c>
      <c r="K452" s="46">
        <v>-1.36</v>
      </c>
      <c r="L452" s="46">
        <v>-1.6</v>
      </c>
      <c r="M452" s="46">
        <v>-43.57</v>
      </c>
      <c r="N452" s="36">
        <v>448</v>
      </c>
      <c r="O452" s="41">
        <v>42998.867962962962</v>
      </c>
    </row>
    <row r="453" spans="2:15" x14ac:dyDescent="0.25">
      <c r="B453" s="36" t="s">
        <v>2752</v>
      </c>
      <c r="C453" s="35" t="s">
        <v>647</v>
      </c>
      <c r="D453" s="36" t="s">
        <v>1696</v>
      </c>
      <c r="E453" s="37">
        <v>5.1100000000000002E-6</v>
      </c>
      <c r="F453" s="38">
        <v>2.03086E-2</v>
      </c>
      <c r="G453" s="39">
        <v>119980</v>
      </c>
      <c r="H453" s="39">
        <v>155807</v>
      </c>
      <c r="I453" s="40">
        <v>7671950</v>
      </c>
      <c r="J453" s="40">
        <v>7671950</v>
      </c>
      <c r="K453" s="46">
        <v>-3.17</v>
      </c>
      <c r="L453" s="46">
        <v>104.31</v>
      </c>
      <c r="M453" s="46">
        <v>77.17</v>
      </c>
      <c r="N453" s="36">
        <v>449</v>
      </c>
      <c r="O453" s="41">
        <v>42998.867627314816</v>
      </c>
    </row>
    <row r="454" spans="2:15" x14ac:dyDescent="0.25">
      <c r="B454" s="36" t="s">
        <v>2588</v>
      </c>
      <c r="C454" s="35" t="s">
        <v>478</v>
      </c>
      <c r="D454" s="36" t="s">
        <v>1532</v>
      </c>
      <c r="E454" s="37">
        <v>6.9999999999999999E-6</v>
      </c>
      <c r="F454" s="38">
        <v>2.7799600000000001E-2</v>
      </c>
      <c r="G454" s="39">
        <v>1731.64</v>
      </c>
      <c r="H454" s="39">
        <v>154870</v>
      </c>
      <c r="I454" s="40">
        <v>5570959</v>
      </c>
      <c r="J454" s="40">
        <v>5570959</v>
      </c>
      <c r="K454" s="46">
        <v>1.01</v>
      </c>
      <c r="L454" s="46">
        <v>-2.54</v>
      </c>
      <c r="M454" s="46">
        <v>8.74</v>
      </c>
      <c r="N454" s="36">
        <v>450</v>
      </c>
      <c r="O454" s="41">
        <v>42998.867615740739</v>
      </c>
    </row>
    <row r="455" spans="2:15" x14ac:dyDescent="0.25">
      <c r="B455" s="36" t="s">
        <v>2556</v>
      </c>
      <c r="C455" s="35" t="s">
        <v>450</v>
      </c>
      <c r="D455" s="36" t="s">
        <v>1505</v>
      </c>
      <c r="E455" s="37">
        <v>3.9999999999999998E-7</v>
      </c>
      <c r="F455" s="38">
        <v>1.5885700000000001E-3</v>
      </c>
      <c r="G455" s="39">
        <v>552.55999999999995</v>
      </c>
      <c r="H455" s="39">
        <v>133157</v>
      </c>
      <c r="I455" s="40">
        <v>83822235</v>
      </c>
      <c r="J455" s="40">
        <v>83822235</v>
      </c>
      <c r="K455" s="46">
        <v>-0.05</v>
      </c>
      <c r="L455" s="46">
        <v>1.19</v>
      </c>
      <c r="M455" s="46">
        <v>-29.19</v>
      </c>
      <c r="N455" s="36">
        <v>451</v>
      </c>
      <c r="O455" s="41">
        <v>42998.867685185185</v>
      </c>
    </row>
    <row r="456" spans="2:15" x14ac:dyDescent="0.25">
      <c r="B456" s="36" t="s">
        <v>2714</v>
      </c>
      <c r="C456" s="35" t="s">
        <v>476</v>
      </c>
      <c r="D456" s="36" t="s">
        <v>1530</v>
      </c>
      <c r="E456" s="37">
        <v>5.6200000000000004E-6</v>
      </c>
      <c r="F456" s="38">
        <v>2.2303199999999999E-2</v>
      </c>
      <c r="G456" s="39">
        <v>4180.13</v>
      </c>
      <c r="H456" s="39">
        <v>120030</v>
      </c>
      <c r="I456" s="40">
        <v>5381750</v>
      </c>
      <c r="J456" s="40">
        <v>5381750</v>
      </c>
      <c r="K456" s="46">
        <v>31.91</v>
      </c>
      <c r="L456" s="46">
        <v>-23.42</v>
      </c>
      <c r="M456" s="46">
        <v>75.36</v>
      </c>
      <c r="N456" s="36">
        <v>452</v>
      </c>
      <c r="O456" s="41">
        <v>42998.864560185182</v>
      </c>
    </row>
    <row r="457" spans="2:15" x14ac:dyDescent="0.25">
      <c r="B457" s="36" t="s">
        <v>2569</v>
      </c>
      <c r="C457" s="35" t="s">
        <v>461</v>
      </c>
      <c r="D457" s="36" t="s">
        <v>1516</v>
      </c>
      <c r="E457" s="37">
        <v>2E-8</v>
      </c>
      <c r="F457" s="38">
        <v>8.3481700000000004E-5</v>
      </c>
      <c r="G457" s="39">
        <v>609.572</v>
      </c>
      <c r="H457" s="39">
        <v>118048</v>
      </c>
      <c r="I457" s="40">
        <v>1414054562</v>
      </c>
      <c r="J457" s="40">
        <v>1414054562</v>
      </c>
      <c r="K457" s="46">
        <v>-29.53</v>
      </c>
      <c r="L457" s="46">
        <v>5.53</v>
      </c>
      <c r="M457" s="46">
        <v>4.83</v>
      </c>
      <c r="N457" s="36">
        <v>453</v>
      </c>
      <c r="O457" s="41">
        <v>42998.8675</v>
      </c>
    </row>
    <row r="458" spans="2:15" x14ac:dyDescent="0.25">
      <c r="B458" s="36" t="s">
        <v>2842</v>
      </c>
      <c r="C458" s="35" t="s">
        <v>756</v>
      </c>
      <c r="D458" s="36" t="s">
        <v>1800</v>
      </c>
      <c r="E458" s="37">
        <v>4.9469999999999999E-5</v>
      </c>
      <c r="F458" s="38">
        <v>0.196467</v>
      </c>
      <c r="G458" s="39">
        <v>7951.5</v>
      </c>
      <c r="H458" s="39">
        <v>116484</v>
      </c>
      <c r="I458" s="40">
        <v>592894</v>
      </c>
      <c r="J458" s="40">
        <v>592894</v>
      </c>
      <c r="K458" s="46">
        <v>23.62</v>
      </c>
      <c r="L458" s="46">
        <v>101.05</v>
      </c>
      <c r="M458" s="46">
        <v>177.96</v>
      </c>
      <c r="N458" s="36">
        <v>454</v>
      </c>
      <c r="O458" s="41">
        <v>42998.867824074077</v>
      </c>
    </row>
    <row r="459" spans="2:15" x14ac:dyDescent="0.25">
      <c r="B459" s="36" t="s">
        <v>2493</v>
      </c>
      <c r="C459" s="35" t="s">
        <v>394</v>
      </c>
      <c r="D459" s="36" t="s">
        <v>1453</v>
      </c>
      <c r="E459" s="37">
        <v>2.8999999999999998E-7</v>
      </c>
      <c r="F459" s="38">
        <v>1.15599E-3</v>
      </c>
      <c r="G459" s="39">
        <v>1715.61</v>
      </c>
      <c r="H459" s="39">
        <v>115599</v>
      </c>
      <c r="I459" s="40">
        <v>100000000</v>
      </c>
      <c r="J459" s="40">
        <v>100000000</v>
      </c>
      <c r="K459" s="46">
        <v>0</v>
      </c>
      <c r="L459" s="46">
        <v>-13.54</v>
      </c>
      <c r="M459" s="46">
        <v>-70.55</v>
      </c>
      <c r="N459" s="36">
        <v>455</v>
      </c>
      <c r="O459" s="41">
        <v>42998.867523148147</v>
      </c>
    </row>
    <row r="460" spans="2:15" x14ac:dyDescent="0.25">
      <c r="B460" s="36" t="s">
        <v>2592</v>
      </c>
      <c r="C460" s="35" t="s">
        <v>477</v>
      </c>
      <c r="D460" s="36" t="s">
        <v>1531</v>
      </c>
      <c r="E460" s="37">
        <v>7.0000000000000005E-8</v>
      </c>
      <c r="F460" s="38">
        <v>2.7478300000000002E-4</v>
      </c>
      <c r="G460" s="39">
        <v>7872.62</v>
      </c>
      <c r="H460" s="39">
        <v>111718</v>
      </c>
      <c r="I460" s="40">
        <v>406568581</v>
      </c>
      <c r="J460" s="40">
        <v>406568581</v>
      </c>
      <c r="K460" s="46">
        <v>10.65</v>
      </c>
      <c r="L460" s="46">
        <v>39.96</v>
      </c>
      <c r="M460" s="46">
        <v>15.92</v>
      </c>
      <c r="N460" s="36">
        <v>456</v>
      </c>
      <c r="O460" s="41">
        <v>42998.867719907408</v>
      </c>
    </row>
    <row r="461" spans="2:15" x14ac:dyDescent="0.25">
      <c r="B461" s="36" t="s">
        <v>2599</v>
      </c>
      <c r="C461" s="35" t="s">
        <v>660</v>
      </c>
      <c r="D461" s="36" t="s">
        <v>1708</v>
      </c>
      <c r="E461" s="37">
        <v>1.4000000000000001E-7</v>
      </c>
      <c r="F461" s="38">
        <v>5.5599999999999996E-4</v>
      </c>
      <c r="G461" s="39">
        <v>982.46</v>
      </c>
      <c r="H461" s="39">
        <v>109142</v>
      </c>
      <c r="I461" s="40">
        <v>196297971</v>
      </c>
      <c r="J461" s="40">
        <v>10025186872</v>
      </c>
      <c r="K461" s="46">
        <v>-2.38</v>
      </c>
      <c r="L461" s="46">
        <v>-5.26</v>
      </c>
      <c r="M461" s="46">
        <v>24.96</v>
      </c>
      <c r="N461" s="36">
        <v>457</v>
      </c>
      <c r="O461" s="41">
        <v>42998.867662037039</v>
      </c>
    </row>
    <row r="462" spans="2:15" x14ac:dyDescent="0.25">
      <c r="B462" s="36" t="s">
        <v>2480</v>
      </c>
      <c r="C462" s="35" t="s">
        <v>382</v>
      </c>
      <c r="D462" s="36" t="s">
        <v>1256</v>
      </c>
      <c r="E462" s="37">
        <v>4.0000000000000001E-10</v>
      </c>
      <c r="F462" s="38">
        <v>1.6152E-6</v>
      </c>
      <c r="G462" s="39">
        <v>3691.89</v>
      </c>
      <c r="H462" s="39">
        <v>108017</v>
      </c>
      <c r="I462" s="40">
        <v>66876281414</v>
      </c>
      <c r="J462" s="40">
        <v>66876281414</v>
      </c>
      <c r="K462" s="46">
        <v>0</v>
      </c>
      <c r="L462" s="46">
        <v>-13.89</v>
      </c>
      <c r="M462" s="46">
        <v>-76.17</v>
      </c>
      <c r="N462" s="36">
        <v>458</v>
      </c>
      <c r="O462" s="41">
        <v>42998.867407407408</v>
      </c>
    </row>
    <row r="463" spans="2:15" x14ac:dyDescent="0.25">
      <c r="B463" s="36" t="s">
        <v>2590</v>
      </c>
      <c r="C463" s="35" t="s">
        <v>480</v>
      </c>
      <c r="D463" s="36" t="s">
        <v>1534</v>
      </c>
      <c r="E463" s="37">
        <v>9.9000000000000005E-7</v>
      </c>
      <c r="F463" s="38">
        <v>3.9215099999999996E-3</v>
      </c>
      <c r="G463" s="39">
        <v>610.245</v>
      </c>
      <c r="H463" s="39">
        <v>104731</v>
      </c>
      <c r="I463" s="40">
        <v>26706780</v>
      </c>
      <c r="J463" s="40">
        <v>26706780</v>
      </c>
      <c r="K463" s="46">
        <v>2.67</v>
      </c>
      <c r="L463" s="46">
        <v>20.239999999999998</v>
      </c>
      <c r="M463" s="46">
        <v>18.55</v>
      </c>
      <c r="N463" s="36">
        <v>459</v>
      </c>
      <c r="O463" s="41">
        <v>42998.867395833331</v>
      </c>
    </row>
    <row r="464" spans="2:15" x14ac:dyDescent="0.25">
      <c r="B464" s="36" t="s">
        <v>2573</v>
      </c>
      <c r="C464" s="35" t="s">
        <v>469</v>
      </c>
      <c r="D464" s="36" t="s">
        <v>1523</v>
      </c>
      <c r="E464" s="37">
        <v>2.1399999999999998E-6</v>
      </c>
      <c r="F464" s="38">
        <v>8.5153599999999996E-3</v>
      </c>
      <c r="G464" s="39">
        <v>971.18700000000001</v>
      </c>
      <c r="H464" s="39">
        <v>103063</v>
      </c>
      <c r="I464" s="40">
        <v>12103142</v>
      </c>
      <c r="J464" s="40">
        <v>12103142</v>
      </c>
      <c r="K464" s="46">
        <v>-6.23</v>
      </c>
      <c r="L464" s="46">
        <v>3.03</v>
      </c>
      <c r="M464" s="46">
        <v>-0.35</v>
      </c>
      <c r="N464" s="36">
        <v>460</v>
      </c>
      <c r="O464" s="41">
        <v>42998.867696759262</v>
      </c>
    </row>
    <row r="465" spans="2:15" x14ac:dyDescent="0.25">
      <c r="B465" s="36" t="s">
        <v>2571</v>
      </c>
      <c r="C465" s="35" t="s">
        <v>458</v>
      </c>
      <c r="D465" s="36" t="s">
        <v>1513</v>
      </c>
      <c r="E465" s="37">
        <v>1.7E-6</v>
      </c>
      <c r="F465" s="38">
        <v>6.7318899999999999E-3</v>
      </c>
      <c r="G465" s="39">
        <v>1621.12</v>
      </c>
      <c r="H465" s="39">
        <v>101571</v>
      </c>
      <c r="I465" s="40">
        <v>15088078</v>
      </c>
      <c r="J465" s="40">
        <v>15088078</v>
      </c>
      <c r="K465" s="46">
        <v>-0.89</v>
      </c>
      <c r="L465" s="46">
        <v>-23.14</v>
      </c>
      <c r="M465" s="46">
        <v>-32.94</v>
      </c>
      <c r="N465" s="36">
        <v>461</v>
      </c>
      <c r="O465" s="41">
        <v>42998.867754629631</v>
      </c>
    </row>
    <row r="466" spans="2:15" x14ac:dyDescent="0.25">
      <c r="B466" s="36" t="s">
        <v>2692</v>
      </c>
      <c r="C466" s="35" t="s">
        <v>456</v>
      </c>
      <c r="D466" s="36" t="s">
        <v>1511</v>
      </c>
      <c r="E466" s="37">
        <v>9.9999999999999995E-8</v>
      </c>
      <c r="F466" s="38">
        <v>3.9714299999999998E-4</v>
      </c>
      <c r="G466" s="39">
        <v>2000.74</v>
      </c>
      <c r="H466" s="39">
        <v>98498</v>
      </c>
      <c r="I466" s="40">
        <v>248017280</v>
      </c>
      <c r="J466" s="40">
        <v>248017280</v>
      </c>
      <c r="K466" s="46">
        <v>-0.12</v>
      </c>
      <c r="L466" s="46">
        <v>-27.5</v>
      </c>
      <c r="M466" s="46">
        <v>-33.51</v>
      </c>
      <c r="N466" s="36">
        <v>462</v>
      </c>
      <c r="O466" s="41">
        <v>42998.867430555554</v>
      </c>
    </row>
    <row r="467" spans="2:15" x14ac:dyDescent="0.25">
      <c r="B467" s="36" t="s">
        <v>2802</v>
      </c>
      <c r="C467" s="35" t="s">
        <v>681</v>
      </c>
      <c r="D467" s="36" t="s">
        <v>1727</v>
      </c>
      <c r="E467" s="37">
        <v>3.2000000000000001E-7</v>
      </c>
      <c r="F467" s="38">
        <v>1.2727299999999999E-3</v>
      </c>
      <c r="G467" s="39">
        <v>1097.08</v>
      </c>
      <c r="H467" s="39">
        <v>93838</v>
      </c>
      <c r="I467" s="40">
        <v>73729962</v>
      </c>
      <c r="J467" s="40">
        <v>73729962</v>
      </c>
      <c r="K467" s="46">
        <v>7.69</v>
      </c>
      <c r="L467" s="46">
        <v>-28.28</v>
      </c>
      <c r="M467" s="46">
        <v>64.41</v>
      </c>
      <c r="N467" s="36">
        <v>463</v>
      </c>
      <c r="O467" s="41">
        <v>42998.867719907408</v>
      </c>
    </row>
    <row r="468" spans="2:15" x14ac:dyDescent="0.25">
      <c r="B468" s="36" t="s">
        <v>2614</v>
      </c>
      <c r="C468" s="35" t="s">
        <v>497</v>
      </c>
      <c r="D468" s="36" t="s">
        <v>1552</v>
      </c>
      <c r="E468" s="37">
        <v>3.2600000000000001E-6</v>
      </c>
      <c r="F468" s="38">
        <v>1.29506E-2</v>
      </c>
      <c r="G468" s="39">
        <v>857.99</v>
      </c>
      <c r="H468" s="39">
        <v>85341</v>
      </c>
      <c r="I468" s="40">
        <v>6589770</v>
      </c>
      <c r="J468" s="40">
        <v>6589770</v>
      </c>
      <c r="K468" s="46">
        <v>4.34</v>
      </c>
      <c r="L468" s="46">
        <v>-3.83</v>
      </c>
      <c r="M468" s="46">
        <v>14.13</v>
      </c>
      <c r="N468" s="36">
        <v>464</v>
      </c>
      <c r="O468" s="41">
        <v>42998.867951388886</v>
      </c>
    </row>
    <row r="469" spans="2:15" x14ac:dyDescent="0.25">
      <c r="B469" s="36" t="s">
        <v>2745</v>
      </c>
      <c r="C469" s="35" t="s">
        <v>623</v>
      </c>
      <c r="D469" s="36" t="s">
        <v>1673</v>
      </c>
      <c r="E469" s="37">
        <v>1.2899999999999999E-6</v>
      </c>
      <c r="F469" s="38">
        <v>5.1174899999999997E-3</v>
      </c>
      <c r="G469" s="39">
        <v>1069.6099999999999</v>
      </c>
      <c r="H469" s="39">
        <v>84895</v>
      </c>
      <c r="I469" s="40">
        <v>16589265</v>
      </c>
      <c r="J469" s="40">
        <v>16589265</v>
      </c>
      <c r="K469" s="46">
        <v>-0.08</v>
      </c>
      <c r="L469" s="46">
        <v>-6.56</v>
      </c>
      <c r="M469" s="46">
        <v>-0.7</v>
      </c>
      <c r="N469" s="36">
        <v>465</v>
      </c>
      <c r="O469" s="41">
        <v>42998.867581018516</v>
      </c>
    </row>
    <row r="470" spans="2:15" x14ac:dyDescent="0.25">
      <c r="B470" s="36" t="s">
        <v>2612</v>
      </c>
      <c r="C470" s="35" t="s">
        <v>492</v>
      </c>
      <c r="D470" s="36" t="s">
        <v>1547</v>
      </c>
      <c r="E470" s="37">
        <v>1.3E-7</v>
      </c>
      <c r="F470" s="38">
        <v>5.1590999999999996E-4</v>
      </c>
      <c r="G470" s="39">
        <v>587.005</v>
      </c>
      <c r="H470" s="39">
        <v>83569</v>
      </c>
      <c r="I470" s="40">
        <v>161984388</v>
      </c>
      <c r="J470" s="40">
        <v>161984388</v>
      </c>
      <c r="K470" s="46">
        <v>-7.37</v>
      </c>
      <c r="L470" s="46">
        <v>-8.3699999999999992</v>
      </c>
      <c r="M470" s="46">
        <v>-23.11</v>
      </c>
      <c r="N470" s="36">
        <v>466</v>
      </c>
      <c r="O470" s="41">
        <v>42998.864560185182</v>
      </c>
    </row>
    <row r="471" spans="2:15" x14ac:dyDescent="0.25">
      <c r="B471" s="36" t="s">
        <v>2747</v>
      </c>
      <c r="C471" s="35" t="s">
        <v>643</v>
      </c>
      <c r="D471" s="36" t="s">
        <v>1692</v>
      </c>
      <c r="E471" s="37">
        <v>2.8999999999999998E-7</v>
      </c>
      <c r="F471" s="38">
        <v>1.1509999999999999E-3</v>
      </c>
      <c r="G471" s="39">
        <v>521.75300000000004</v>
      </c>
      <c r="H471" s="39">
        <v>81991</v>
      </c>
      <c r="I471" s="40">
        <v>71234301</v>
      </c>
      <c r="J471" s="40">
        <v>71234301</v>
      </c>
      <c r="K471" s="46">
        <v>-0.05</v>
      </c>
      <c r="L471" s="46">
        <v>-2.73</v>
      </c>
      <c r="M471" s="46">
        <v>-4.92</v>
      </c>
      <c r="N471" s="36">
        <v>467</v>
      </c>
      <c r="O471" s="41">
        <v>42998.867708333331</v>
      </c>
    </row>
    <row r="472" spans="2:15" x14ac:dyDescent="0.25">
      <c r="B472" s="36" t="s">
        <v>2618</v>
      </c>
      <c r="C472" s="35" t="s">
        <v>680</v>
      </c>
      <c r="D472" s="36" t="s">
        <v>1529</v>
      </c>
      <c r="E472" s="37">
        <v>9.1999999999999998E-7</v>
      </c>
      <c r="F472" s="38">
        <v>3.6537200000000001E-3</v>
      </c>
      <c r="G472" s="39">
        <v>1218.32</v>
      </c>
      <c r="H472" s="39">
        <v>74118</v>
      </c>
      <c r="I472" s="40">
        <v>20285537</v>
      </c>
      <c r="J472" s="40">
        <v>23775537</v>
      </c>
      <c r="K472" s="46">
        <v>-0.77</v>
      </c>
      <c r="L472" s="46">
        <v>-13.71</v>
      </c>
      <c r="M472" s="46">
        <v>70.75</v>
      </c>
      <c r="N472" s="36">
        <v>468</v>
      </c>
      <c r="O472" s="41">
        <v>42998.867662037039</v>
      </c>
    </row>
    <row r="473" spans="2:15" x14ac:dyDescent="0.25">
      <c r="B473" s="36" t="s">
        <v>2631</v>
      </c>
      <c r="C473" s="35" t="s">
        <v>516</v>
      </c>
      <c r="D473" s="36" t="s">
        <v>1571</v>
      </c>
      <c r="E473" s="37">
        <v>1.7600000000000001E-5</v>
      </c>
      <c r="F473" s="38">
        <v>6.9909299999999994E-2</v>
      </c>
      <c r="G473" s="39">
        <v>1648.89</v>
      </c>
      <c r="H473" s="39">
        <v>72544</v>
      </c>
      <c r="I473" s="40">
        <v>1037692</v>
      </c>
      <c r="J473" s="40">
        <v>1142374</v>
      </c>
      <c r="K473" s="46">
        <v>-0.04</v>
      </c>
      <c r="L473" s="46">
        <v>4.5599999999999996</v>
      </c>
      <c r="M473" s="46">
        <v>12.5</v>
      </c>
      <c r="N473" s="36">
        <v>469</v>
      </c>
      <c r="O473" s="41">
        <v>42998.86791666667</v>
      </c>
    </row>
    <row r="474" spans="2:15" x14ac:dyDescent="0.25">
      <c r="B474" s="36" t="s">
        <v>2754</v>
      </c>
      <c r="C474" s="35" t="s">
        <v>667</v>
      </c>
      <c r="D474" s="36">
        <v>300</v>
      </c>
      <c r="E474" s="37">
        <v>5.5E-2</v>
      </c>
      <c r="F474" s="38">
        <v>218.429</v>
      </c>
      <c r="G474" s="39">
        <v>966.50400000000002</v>
      </c>
      <c r="H474" s="39">
        <v>65529</v>
      </c>
      <c r="I474" s="40">
        <v>300</v>
      </c>
      <c r="J474" s="40">
        <v>300</v>
      </c>
      <c r="K474" s="46">
        <v>-0.05</v>
      </c>
      <c r="L474" s="46">
        <v>-5.64</v>
      </c>
      <c r="M474" s="46">
        <v>-14.91</v>
      </c>
      <c r="N474" s="36">
        <v>470</v>
      </c>
      <c r="O474" s="41">
        <v>42998.867997685185</v>
      </c>
    </row>
    <row r="475" spans="2:15" x14ac:dyDescent="0.25">
      <c r="B475" s="36" t="s">
        <v>2562</v>
      </c>
      <c r="C475" s="35" t="s">
        <v>449</v>
      </c>
      <c r="D475" s="36" t="s">
        <v>1504</v>
      </c>
      <c r="E475" s="37">
        <v>1.1000000000000001E-7</v>
      </c>
      <c r="F475" s="38">
        <v>4.4439099999999998E-4</v>
      </c>
      <c r="G475" s="39">
        <v>2338.6999999999998</v>
      </c>
      <c r="H475" s="39">
        <v>64012</v>
      </c>
      <c r="I475" s="40">
        <v>144045026</v>
      </c>
      <c r="J475" s="40">
        <v>344045026</v>
      </c>
      <c r="K475" s="46">
        <v>0.02</v>
      </c>
      <c r="L475" s="46">
        <v>2.15</v>
      </c>
      <c r="M475" s="46">
        <v>-45.4</v>
      </c>
      <c r="N475" s="36">
        <v>471</v>
      </c>
      <c r="O475" s="41">
        <v>42998.867986111109</v>
      </c>
    </row>
    <row r="476" spans="2:15" x14ac:dyDescent="0.25">
      <c r="B476" s="36" t="s">
        <v>2633</v>
      </c>
      <c r="C476" s="35" t="s">
        <v>521</v>
      </c>
      <c r="D476" s="36" t="s">
        <v>1576</v>
      </c>
      <c r="E476" s="37">
        <v>2.9999999999999997E-8</v>
      </c>
      <c r="F476" s="38">
        <v>1.06978E-4</v>
      </c>
      <c r="G476" s="39">
        <v>10074.4</v>
      </c>
      <c r="H476" s="39">
        <v>52056</v>
      </c>
      <c r="I476" s="40">
        <v>486609040</v>
      </c>
      <c r="J476" s="40">
        <v>10000000000</v>
      </c>
      <c r="K476" s="46">
        <v>-0.41</v>
      </c>
      <c r="L476" s="46">
        <v>-4.1100000000000003</v>
      </c>
      <c r="M476" s="46">
        <v>-28.34</v>
      </c>
      <c r="N476" s="36">
        <v>472</v>
      </c>
      <c r="O476" s="41">
        <v>42998.867789351854</v>
      </c>
    </row>
    <row r="477" spans="2:15" x14ac:dyDescent="0.25">
      <c r="B477" s="36" t="s">
        <v>2619</v>
      </c>
      <c r="C477" s="35" t="s">
        <v>504</v>
      </c>
      <c r="D477" s="36" t="s">
        <v>1559</v>
      </c>
      <c r="E477" s="37">
        <v>3.3999999999999997E-7</v>
      </c>
      <c r="F477" s="38">
        <v>1.35502E-3</v>
      </c>
      <c r="G477" s="39">
        <v>504.72300000000001</v>
      </c>
      <c r="H477" s="39">
        <v>49310</v>
      </c>
      <c r="I477" s="40">
        <v>36390750</v>
      </c>
      <c r="J477" s="40">
        <v>6240390800</v>
      </c>
      <c r="K477" s="46">
        <v>-0.11</v>
      </c>
      <c r="L477" s="46">
        <v>-6.67</v>
      </c>
      <c r="M477" s="46">
        <v>6.07</v>
      </c>
      <c r="N477" s="36">
        <v>473</v>
      </c>
      <c r="O477" s="41">
        <v>42998.867592592593</v>
      </c>
    </row>
    <row r="478" spans="2:15" x14ac:dyDescent="0.25">
      <c r="B478" s="36" t="s">
        <v>2564</v>
      </c>
      <c r="C478" s="35" t="s">
        <v>452</v>
      </c>
      <c r="D478" s="36" t="s">
        <v>1507</v>
      </c>
      <c r="E478" s="37">
        <v>3.2000000000000001E-7</v>
      </c>
      <c r="F478" s="38">
        <v>1.2512999999999999E-3</v>
      </c>
      <c r="G478" s="39">
        <v>9714.5400000000009</v>
      </c>
      <c r="H478" s="39">
        <v>49139</v>
      </c>
      <c r="I478" s="40">
        <v>39270287</v>
      </c>
      <c r="J478" s="40">
        <v>184120288</v>
      </c>
      <c r="K478" s="46">
        <v>0</v>
      </c>
      <c r="L478" s="46">
        <v>-7.88</v>
      </c>
      <c r="M478" s="46">
        <v>-66.959999999999994</v>
      </c>
      <c r="N478" s="36">
        <v>474</v>
      </c>
      <c r="O478" s="41">
        <v>42998.867407407408</v>
      </c>
    </row>
    <row r="479" spans="2:15" x14ac:dyDescent="0.25">
      <c r="B479" s="36" t="s">
        <v>2635</v>
      </c>
      <c r="C479" s="35" t="s">
        <v>519</v>
      </c>
      <c r="D479" s="36" t="s">
        <v>1574</v>
      </c>
      <c r="E479" s="37">
        <v>5.1190000000000003E-5</v>
      </c>
      <c r="F479" s="38">
        <v>0.20329900000000001</v>
      </c>
      <c r="G479" s="39">
        <v>2085</v>
      </c>
      <c r="H479" s="39">
        <v>47859</v>
      </c>
      <c r="I479" s="40">
        <v>235413</v>
      </c>
      <c r="J479" s="40">
        <v>235413</v>
      </c>
      <c r="K479" s="46">
        <v>-0.01</v>
      </c>
      <c r="L479" s="46">
        <v>-7.81</v>
      </c>
      <c r="M479" s="46">
        <v>-24.32</v>
      </c>
      <c r="N479" s="36">
        <v>475</v>
      </c>
      <c r="O479" s="41">
        <v>42998.867962962962</v>
      </c>
    </row>
    <row r="480" spans="2:15" x14ac:dyDescent="0.25">
      <c r="B480" s="36" t="s">
        <v>2610</v>
      </c>
      <c r="C480" s="35" t="s">
        <v>499</v>
      </c>
      <c r="D480" s="36" t="s">
        <v>1554</v>
      </c>
      <c r="E480" s="37">
        <v>9.6600000000000007E-6</v>
      </c>
      <c r="F480" s="38">
        <v>3.8359600000000001E-2</v>
      </c>
      <c r="G480" s="39">
        <v>502.96</v>
      </c>
      <c r="H480" s="39">
        <v>47223</v>
      </c>
      <c r="I480" s="40">
        <v>1231055</v>
      </c>
      <c r="J480" s="40">
        <v>1231055</v>
      </c>
      <c r="K480" s="46">
        <v>-1.94</v>
      </c>
      <c r="L480" s="46">
        <v>-1.92</v>
      </c>
      <c r="M480" s="46">
        <v>-28.77</v>
      </c>
      <c r="N480" s="36">
        <v>476</v>
      </c>
      <c r="O480" s="41">
        <v>42998.867835648147</v>
      </c>
    </row>
    <row r="481" spans="2:15" x14ac:dyDescent="0.25">
      <c r="B481" s="36" t="s">
        <v>2622</v>
      </c>
      <c r="C481" s="35" t="s">
        <v>508</v>
      </c>
      <c r="D481" s="36" t="s">
        <v>1563</v>
      </c>
      <c r="E481" s="37">
        <v>2.3700000000000002E-6</v>
      </c>
      <c r="F481" s="38">
        <v>9.4289200000000004E-3</v>
      </c>
      <c r="G481" s="39">
        <v>852.625</v>
      </c>
      <c r="H481" s="39">
        <v>44916</v>
      </c>
      <c r="I481" s="40">
        <v>4763692</v>
      </c>
      <c r="J481" s="40">
        <v>14763692</v>
      </c>
      <c r="K481" s="46">
        <v>0.38</v>
      </c>
      <c r="L481" s="46">
        <v>1.83</v>
      </c>
      <c r="M481" s="46">
        <v>25.1</v>
      </c>
      <c r="N481" s="36">
        <v>477</v>
      </c>
      <c r="O481" s="41">
        <v>42998.867835648147</v>
      </c>
    </row>
    <row r="482" spans="2:15" x14ac:dyDescent="0.25">
      <c r="B482" s="36" t="s">
        <v>2798</v>
      </c>
      <c r="C482" s="35" t="s">
        <v>722</v>
      </c>
      <c r="D482" s="36" t="s">
        <v>1766</v>
      </c>
      <c r="E482" s="37">
        <v>4.5999999999999999E-7</v>
      </c>
      <c r="F482" s="38">
        <v>1.8273199999999999E-3</v>
      </c>
      <c r="G482" s="39">
        <v>1995.75</v>
      </c>
      <c r="H482" s="39">
        <v>43708</v>
      </c>
      <c r="I482" s="40">
        <v>23919000</v>
      </c>
      <c r="J482" s="40">
        <v>23919000</v>
      </c>
      <c r="K482" s="46">
        <v>-57.11</v>
      </c>
      <c r="L482" s="46">
        <v>-9.9</v>
      </c>
      <c r="M482" s="46">
        <v>78.7</v>
      </c>
      <c r="N482" s="36">
        <v>478</v>
      </c>
      <c r="O482" s="41">
        <v>42998.867939814816</v>
      </c>
    </row>
    <row r="483" spans="2:15" x14ac:dyDescent="0.25">
      <c r="B483" s="36" t="s">
        <v>3258</v>
      </c>
      <c r="C483" s="35" t="s">
        <v>3259</v>
      </c>
      <c r="D483" s="36" t="s">
        <v>3260</v>
      </c>
      <c r="E483" s="37">
        <v>1.6999999999999999E-7</v>
      </c>
      <c r="F483" s="38">
        <v>6.8549300000000002E-4</v>
      </c>
      <c r="G483" s="39">
        <v>2395.17</v>
      </c>
      <c r="H483" s="39">
        <v>41042</v>
      </c>
      <c r="I483" s="40">
        <v>59871605</v>
      </c>
      <c r="J483" s="40">
        <v>80438826</v>
      </c>
      <c r="K483" s="46">
        <v>-2.04</v>
      </c>
      <c r="L483" s="46">
        <v>-10.51</v>
      </c>
      <c r="M483" s="46">
        <v>-44.68</v>
      </c>
      <c r="N483" s="36">
        <v>479</v>
      </c>
      <c r="O483" s="41">
        <v>42998.864548611113</v>
      </c>
    </row>
    <row r="484" spans="2:15" x14ac:dyDescent="0.25">
      <c r="B484" s="36" t="s">
        <v>2869</v>
      </c>
      <c r="C484" s="35" t="s">
        <v>778</v>
      </c>
      <c r="D484" s="36" t="s">
        <v>1819</v>
      </c>
      <c r="E484" s="37">
        <v>9.6500000000000008E-6</v>
      </c>
      <c r="F484" s="38">
        <v>3.8342500000000002E-2</v>
      </c>
      <c r="G484" s="39">
        <v>830.62800000000004</v>
      </c>
      <c r="H484" s="39">
        <v>33466</v>
      </c>
      <c r="I484" s="40">
        <v>872830</v>
      </c>
      <c r="J484" s="40">
        <v>872830</v>
      </c>
      <c r="K484" s="46">
        <v>-5.17</v>
      </c>
      <c r="L484" s="46">
        <v>-17.88</v>
      </c>
      <c r="M484" s="46">
        <v>75.12</v>
      </c>
      <c r="N484" s="36">
        <v>480</v>
      </c>
      <c r="O484" s="41">
        <v>42998.867708333331</v>
      </c>
    </row>
    <row r="485" spans="2:15" x14ac:dyDescent="0.25">
      <c r="B485" s="36" t="s">
        <v>3212</v>
      </c>
      <c r="C485" s="35" t="s">
        <v>3213</v>
      </c>
      <c r="D485" s="36" t="s">
        <v>3214</v>
      </c>
      <c r="E485" s="37">
        <v>3.5599999999999998E-6</v>
      </c>
      <c r="F485" s="38">
        <v>1.41087E-2</v>
      </c>
      <c r="G485" s="39">
        <v>901.72199999999998</v>
      </c>
      <c r="H485" s="39">
        <v>25780</v>
      </c>
      <c r="I485" s="40">
        <v>1827250</v>
      </c>
      <c r="J485" s="40">
        <v>1827250</v>
      </c>
      <c r="K485" s="46">
        <v>2.11</v>
      </c>
      <c r="L485" s="46">
        <v>19.16</v>
      </c>
      <c r="M485" s="46">
        <v>19.739999999999998</v>
      </c>
      <c r="N485" s="36">
        <v>481</v>
      </c>
      <c r="O485" s="41">
        <v>42998.864548611113</v>
      </c>
    </row>
    <row r="486" spans="2:15" x14ac:dyDescent="0.25">
      <c r="B486" s="36" t="s">
        <v>2609</v>
      </c>
      <c r="C486" s="35" t="s">
        <v>484</v>
      </c>
      <c r="D486" s="36" t="s">
        <v>1539</v>
      </c>
      <c r="E486" s="37">
        <v>7.9500000000000001E-6</v>
      </c>
      <c r="F486" s="38">
        <v>3.1543099999999998E-2</v>
      </c>
      <c r="G486" s="39">
        <v>1332</v>
      </c>
      <c r="H486" s="39">
        <v>17150</v>
      </c>
      <c r="I486" s="40">
        <v>543701</v>
      </c>
      <c r="J486" s="40">
        <v>8043701</v>
      </c>
      <c r="K486" s="46">
        <v>2.27</v>
      </c>
      <c r="L486" s="46">
        <v>11.16</v>
      </c>
      <c r="M486" s="46">
        <v>-21.05</v>
      </c>
      <c r="N486" s="36">
        <v>482</v>
      </c>
      <c r="O486" s="41">
        <v>42998.864525462966</v>
      </c>
    </row>
    <row r="487" spans="2:15" x14ac:dyDescent="0.25">
      <c r="B487" s="36" t="s">
        <v>2637</v>
      </c>
      <c r="C487" s="35" t="s">
        <v>524</v>
      </c>
      <c r="D487" s="36" t="s">
        <v>1579</v>
      </c>
      <c r="E487" s="37">
        <v>1.2547E-4</v>
      </c>
      <c r="F487" s="38">
        <v>0.49793300000000001</v>
      </c>
      <c r="G487" s="39">
        <v>76223.100000000006</v>
      </c>
      <c r="H487" s="39">
        <v>17090</v>
      </c>
      <c r="I487" s="40">
        <v>34321</v>
      </c>
      <c r="J487" s="40">
        <v>1600034321</v>
      </c>
      <c r="K487" s="46">
        <v>-0.25</v>
      </c>
      <c r="L487" s="46">
        <v>1.03</v>
      </c>
      <c r="M487" s="46">
        <v>0.1</v>
      </c>
      <c r="N487" s="36">
        <v>483</v>
      </c>
      <c r="O487" s="41">
        <v>42998.86451388889</v>
      </c>
    </row>
    <row r="488" spans="2:15" x14ac:dyDescent="0.25">
      <c r="B488" s="36" t="s">
        <v>2640</v>
      </c>
      <c r="C488" s="35" t="s">
        <v>528</v>
      </c>
      <c r="D488" s="36" t="s">
        <v>1583</v>
      </c>
      <c r="E488" s="37">
        <v>3.0699999999999998E-6</v>
      </c>
      <c r="F488" s="38">
        <v>1.22033E-2</v>
      </c>
      <c r="G488" s="39">
        <v>3563.22</v>
      </c>
      <c r="H488" s="39">
        <v>11779</v>
      </c>
      <c r="I488" s="40">
        <v>965198</v>
      </c>
      <c r="J488" s="40">
        <v>91965198</v>
      </c>
      <c r="K488" s="46">
        <v>1</v>
      </c>
      <c r="L488" s="46">
        <v>10.7</v>
      </c>
      <c r="M488" s="46">
        <v>-21.87</v>
      </c>
      <c r="N488" s="36">
        <v>484</v>
      </c>
      <c r="O488" s="41">
        <v>42998.867858796293</v>
      </c>
    </row>
    <row r="489" spans="2:15" x14ac:dyDescent="0.25">
      <c r="B489" s="36" t="s">
        <v>2634</v>
      </c>
      <c r="C489" s="35" t="s">
        <v>520</v>
      </c>
      <c r="D489" s="36" t="s">
        <v>1575</v>
      </c>
      <c r="E489" s="37">
        <v>7.7000000000000004E-7</v>
      </c>
      <c r="F489" s="38">
        <v>3.0636600000000002E-3</v>
      </c>
      <c r="G489" s="39">
        <v>5222.91</v>
      </c>
      <c r="H489" s="39">
        <v>9768</v>
      </c>
      <c r="I489" s="40">
        <v>3188280</v>
      </c>
      <c r="J489" s="40">
        <v>161666000</v>
      </c>
      <c r="K489" s="46">
        <v>9.3800000000000008</v>
      </c>
      <c r="L489" s="46">
        <v>36.25</v>
      </c>
      <c r="M489" s="46">
        <v>-1.99</v>
      </c>
      <c r="N489" s="36">
        <v>485</v>
      </c>
      <c r="O489" s="41">
        <v>42998.867986111109</v>
      </c>
    </row>
    <row r="490" spans="2:15" x14ac:dyDescent="0.25">
      <c r="B490" s="36" t="s">
        <v>2809</v>
      </c>
      <c r="C490" s="35" t="s">
        <v>707</v>
      </c>
      <c r="D490" s="36" t="s">
        <v>1752</v>
      </c>
      <c r="E490" s="37">
        <v>5.8999999999999996E-7</v>
      </c>
      <c r="F490" s="38">
        <v>2.3431400000000001E-3</v>
      </c>
      <c r="G490" s="39">
        <v>879.30799999999999</v>
      </c>
      <c r="H490" s="39">
        <v>6303</v>
      </c>
      <c r="I490" s="40">
        <v>2689812</v>
      </c>
      <c r="J490" s="40">
        <v>2689812</v>
      </c>
      <c r="K490" s="46">
        <v>-0.05</v>
      </c>
      <c r="L490" s="46">
        <v>-76.88</v>
      </c>
      <c r="M490" s="46">
        <v>-89.57</v>
      </c>
      <c r="N490" s="36">
        <v>486</v>
      </c>
      <c r="O490" s="41">
        <v>42998.867685185185</v>
      </c>
    </row>
    <row r="491" spans="2:15" x14ac:dyDescent="0.25">
      <c r="B491" s="36" t="s">
        <v>2642</v>
      </c>
      <c r="C491" s="35" t="s">
        <v>529</v>
      </c>
      <c r="D491" s="36" t="s">
        <v>1584</v>
      </c>
      <c r="E491" s="37">
        <v>1.9999999999999999E-6</v>
      </c>
      <c r="F491" s="38">
        <v>7.9428599999999995E-3</v>
      </c>
      <c r="G491" s="39">
        <v>48328.1</v>
      </c>
      <c r="H491" s="39">
        <v>2635</v>
      </c>
      <c r="I491" s="40">
        <v>331739</v>
      </c>
      <c r="J491" s="40">
        <v>33565331739</v>
      </c>
      <c r="K491" s="46">
        <v>-0.05</v>
      </c>
      <c r="L491" s="46">
        <v>-1.92</v>
      </c>
      <c r="M491" s="46">
        <v>-40.159999999999997</v>
      </c>
      <c r="N491" s="36">
        <v>487</v>
      </c>
      <c r="O491" s="41">
        <v>42998.867986111109</v>
      </c>
    </row>
    <row r="492" spans="2:15" x14ac:dyDescent="0.25">
      <c r="B492" s="36" t="s">
        <v>2699</v>
      </c>
      <c r="C492" s="35" t="s">
        <v>594</v>
      </c>
      <c r="D492" s="36" t="s">
        <v>1644</v>
      </c>
      <c r="E492" s="37">
        <v>2.9999999999999997E-8</v>
      </c>
      <c r="F492" s="38">
        <v>1.1914299999999999E-4</v>
      </c>
      <c r="G492" s="39">
        <v>113914</v>
      </c>
      <c r="H492" s="39">
        <v>1474</v>
      </c>
      <c r="I492" s="40">
        <v>12367704</v>
      </c>
      <c r="J492" s="40">
        <v>6662367704</v>
      </c>
      <c r="K492" s="46">
        <v>-0.05</v>
      </c>
      <c r="L492" s="46">
        <v>-46.53</v>
      </c>
      <c r="M492" s="46">
        <v>-99.26</v>
      </c>
      <c r="N492" s="36">
        <v>488</v>
      </c>
      <c r="O492" s="41">
        <v>42998.867719907408</v>
      </c>
    </row>
    <row r="493" spans="2:15" x14ac:dyDescent="0.25">
      <c r="B493" s="36" t="s">
        <v>2641</v>
      </c>
      <c r="C493" s="35" t="s">
        <v>813</v>
      </c>
      <c r="D493" s="36" t="s">
        <v>1853</v>
      </c>
      <c r="E493" s="37">
        <v>5.0100000000000003E-6</v>
      </c>
      <c r="F493" s="38">
        <v>1.9896899999999999E-2</v>
      </c>
      <c r="G493" s="39">
        <v>1183.92</v>
      </c>
      <c r="H493" s="39">
        <v>1347</v>
      </c>
      <c r="I493" s="40">
        <v>67700</v>
      </c>
      <c r="J493" s="40">
        <v>4734367</v>
      </c>
      <c r="K493" s="46">
        <v>0.12</v>
      </c>
      <c r="L493" s="46">
        <v>-34.11</v>
      </c>
      <c r="M493" s="46">
        <v>-72.86</v>
      </c>
      <c r="N493" s="36">
        <v>489</v>
      </c>
      <c r="O493" s="41">
        <v>42998.867847222224</v>
      </c>
    </row>
    <row r="494" spans="2:15" x14ac:dyDescent="0.25">
      <c r="B494" s="36" t="s">
        <v>2240</v>
      </c>
      <c r="C494" s="35" t="s">
        <v>138</v>
      </c>
      <c r="D494" s="36" t="s">
        <v>1204</v>
      </c>
      <c r="E494" s="37">
        <v>6.0250000000000001E-5</v>
      </c>
      <c r="F494" s="38">
        <v>0.27323500000000001</v>
      </c>
      <c r="G494" s="39"/>
      <c r="H494" s="39">
        <v>17513285</v>
      </c>
      <c r="I494" s="40">
        <v>64096052</v>
      </c>
      <c r="J494" s="40">
        <v>786000001</v>
      </c>
      <c r="K494" s="46"/>
      <c r="L494" s="46"/>
      <c r="M494" s="46"/>
      <c r="N494" s="36">
        <v>490</v>
      </c>
      <c r="O494" s="41">
        <v>42985.09715277778</v>
      </c>
    </row>
    <row r="495" spans="2:15" x14ac:dyDescent="0.25">
      <c r="B495" s="36" t="s">
        <v>2645</v>
      </c>
      <c r="C495" s="35" t="s">
        <v>532</v>
      </c>
      <c r="D495" s="36" t="s">
        <v>1587</v>
      </c>
      <c r="E495" s="37">
        <v>3.2726000000000001E-4</v>
      </c>
      <c r="F495" s="38">
        <v>1.2996799999999999</v>
      </c>
      <c r="G495" s="39">
        <v>51.987299999999998</v>
      </c>
      <c r="H495" s="39">
        <v>14964318</v>
      </c>
      <c r="I495" s="40">
        <v>11513848</v>
      </c>
      <c r="J495" s="40">
        <v>25000000</v>
      </c>
      <c r="K495" s="46">
        <v>-0.57999999999999996</v>
      </c>
      <c r="L495" s="46">
        <v>71.760000000000005</v>
      </c>
      <c r="M495" s="46">
        <v>-10.64</v>
      </c>
      <c r="N495" s="36">
        <v>491</v>
      </c>
      <c r="O495" s="41">
        <v>42998.86787037037</v>
      </c>
    </row>
    <row r="496" spans="2:15" x14ac:dyDescent="0.25">
      <c r="B496" s="36" t="s">
        <v>2371</v>
      </c>
      <c r="C496" s="35" t="s">
        <v>273</v>
      </c>
      <c r="D496" s="36" t="s">
        <v>1337</v>
      </c>
      <c r="E496" s="37">
        <v>3.4015E-4</v>
      </c>
      <c r="F496" s="38">
        <v>1.36391</v>
      </c>
      <c r="G496" s="39"/>
      <c r="H496" s="39">
        <v>14356462</v>
      </c>
      <c r="I496" s="40">
        <v>10525960</v>
      </c>
      <c r="J496" s="40">
        <v>205525960</v>
      </c>
      <c r="K496" s="46"/>
      <c r="L496" s="46">
        <v>2.48</v>
      </c>
      <c r="M496" s="46">
        <v>-12.87</v>
      </c>
      <c r="N496" s="36">
        <v>492</v>
      </c>
      <c r="O496" s="41">
        <v>42998.593634259261</v>
      </c>
    </row>
    <row r="497" spans="2:15" x14ac:dyDescent="0.25">
      <c r="B497" s="36" t="s">
        <v>2178</v>
      </c>
      <c r="C497" s="35" t="s">
        <v>76</v>
      </c>
      <c r="D497" s="36" t="s">
        <v>76</v>
      </c>
      <c r="E497" s="37">
        <v>3.188E-5</v>
      </c>
      <c r="F497" s="38">
        <v>0.13775100000000001</v>
      </c>
      <c r="G497" s="39"/>
      <c r="H497" s="39">
        <v>13775100</v>
      </c>
      <c r="I497" s="40">
        <v>100000000</v>
      </c>
      <c r="J497" s="40">
        <v>200000000</v>
      </c>
      <c r="K497" s="46"/>
      <c r="L497" s="46"/>
      <c r="M497" s="46"/>
      <c r="N497" s="36">
        <v>493</v>
      </c>
      <c r="O497" s="41">
        <v>42990.430659722224</v>
      </c>
    </row>
    <row r="498" spans="2:15" x14ac:dyDescent="0.25">
      <c r="B498" s="36" t="s">
        <v>2281</v>
      </c>
      <c r="C498" s="35" t="s">
        <v>186</v>
      </c>
      <c r="D498" s="36" t="s">
        <v>1251</v>
      </c>
      <c r="E498" s="37">
        <v>5.0000999999999995E-4</v>
      </c>
      <c r="F498" s="38">
        <v>2.0049000000000001</v>
      </c>
      <c r="G498" s="39"/>
      <c r="H498" s="39">
        <v>11726052</v>
      </c>
      <c r="I498" s="40">
        <v>5848697</v>
      </c>
      <c r="J498" s="40">
        <v>5848697</v>
      </c>
      <c r="K498" s="46"/>
      <c r="L498" s="46">
        <v>2.48</v>
      </c>
      <c r="M498" s="46">
        <v>22.39</v>
      </c>
      <c r="N498" s="36">
        <v>494</v>
      </c>
      <c r="O498" s="41">
        <v>42998.593171296299</v>
      </c>
    </row>
    <row r="499" spans="2:15" x14ac:dyDescent="0.25">
      <c r="B499" s="36" t="s">
        <v>2650</v>
      </c>
      <c r="C499" s="35" t="s">
        <v>538</v>
      </c>
      <c r="D499" s="36" t="s">
        <v>1379</v>
      </c>
      <c r="E499" s="37">
        <v>9.9963999999999999E-4</v>
      </c>
      <c r="F499" s="38">
        <v>3.9699900000000001</v>
      </c>
      <c r="G499" s="39">
        <v>9.2057800000000007</v>
      </c>
      <c r="H499" s="39">
        <v>7451366</v>
      </c>
      <c r="I499" s="40">
        <v>1876923</v>
      </c>
      <c r="J499" s="40">
        <v>1876923</v>
      </c>
      <c r="K499" s="46">
        <v>-0.18</v>
      </c>
      <c r="L499" s="46">
        <v>1.69</v>
      </c>
      <c r="M499" s="46">
        <v>-9.2899999999999991</v>
      </c>
      <c r="N499" s="36">
        <v>495</v>
      </c>
      <c r="O499" s="41">
        <v>42998.867789351854</v>
      </c>
    </row>
    <row r="500" spans="2:15" x14ac:dyDescent="0.25">
      <c r="B500" s="36" t="s">
        <v>2284</v>
      </c>
      <c r="C500" s="35" t="s">
        <v>178</v>
      </c>
      <c r="D500" s="36" t="s">
        <v>1243</v>
      </c>
      <c r="E500" s="37">
        <v>3.837E-5</v>
      </c>
      <c r="F500" s="38">
        <v>0.137708</v>
      </c>
      <c r="G500" s="39"/>
      <c r="H500" s="39">
        <v>6809027</v>
      </c>
      <c r="I500" s="40">
        <v>49445400</v>
      </c>
      <c r="J500" s="40">
        <v>49445400</v>
      </c>
      <c r="K500" s="46"/>
      <c r="L500" s="46"/>
      <c r="M500" s="46">
        <v>-8.64</v>
      </c>
      <c r="N500" s="36">
        <v>496</v>
      </c>
      <c r="O500" s="41">
        <v>42995.26017361111</v>
      </c>
    </row>
    <row r="501" spans="2:15" x14ac:dyDescent="0.25">
      <c r="B501" s="36" t="s">
        <v>2411</v>
      </c>
      <c r="C501" s="35" t="s">
        <v>295</v>
      </c>
      <c r="D501" s="36" t="s">
        <v>1358</v>
      </c>
      <c r="E501" s="37">
        <v>3.8046999999999999E-4</v>
      </c>
      <c r="F501" s="42">
        <v>1.52556</v>
      </c>
      <c r="G501" s="39"/>
      <c r="H501" s="39">
        <v>6501705</v>
      </c>
      <c r="I501" s="40">
        <v>4261848</v>
      </c>
      <c r="J501" s="40">
        <v>6261848</v>
      </c>
      <c r="K501" s="46"/>
      <c r="L501" s="46">
        <v>2.4700000000000002</v>
      </c>
      <c r="M501" s="46">
        <v>61.82</v>
      </c>
      <c r="N501" s="36">
        <v>497</v>
      </c>
      <c r="O501" s="41">
        <v>42998.593738425923</v>
      </c>
    </row>
    <row r="502" spans="2:15" x14ac:dyDescent="0.25">
      <c r="B502" s="36" t="s">
        <v>2323</v>
      </c>
      <c r="C502" s="35" t="s">
        <v>223</v>
      </c>
      <c r="D502" s="36" t="s">
        <v>1287</v>
      </c>
      <c r="E502" s="37">
        <v>3.782E-5</v>
      </c>
      <c r="F502" s="38">
        <v>0.13574700000000001</v>
      </c>
      <c r="G502" s="39"/>
      <c r="H502" s="39">
        <v>4072410</v>
      </c>
      <c r="I502" s="40">
        <v>30000000</v>
      </c>
      <c r="J502" s="40">
        <v>30000000</v>
      </c>
      <c r="K502" s="46"/>
      <c r="L502" s="46"/>
      <c r="M502" s="46">
        <v>1.78</v>
      </c>
      <c r="N502" s="36">
        <v>498</v>
      </c>
      <c r="O502" s="41">
        <v>42995.26122685185</v>
      </c>
    </row>
    <row r="503" spans="2:15" x14ac:dyDescent="0.25">
      <c r="B503" s="36" t="s">
        <v>2346</v>
      </c>
      <c r="C503" s="35" t="s">
        <v>232</v>
      </c>
      <c r="D503" s="36" t="s">
        <v>1296</v>
      </c>
      <c r="E503" s="37">
        <v>2.4437999999999999E-4</v>
      </c>
      <c r="F503" s="38">
        <v>0.97989899999999996</v>
      </c>
      <c r="G503" s="39"/>
      <c r="H503" s="39">
        <v>3276786</v>
      </c>
      <c r="I503" s="40">
        <v>3344004</v>
      </c>
      <c r="J503" s="40">
        <v>18449123</v>
      </c>
      <c r="K503" s="46"/>
      <c r="L503" s="46">
        <v>15.1</v>
      </c>
      <c r="M503" s="46">
        <v>-7.43</v>
      </c>
      <c r="N503" s="36">
        <v>499</v>
      </c>
      <c r="O503" s="41">
        <v>42998.593726851854</v>
      </c>
    </row>
    <row r="504" spans="2:15" x14ac:dyDescent="0.25">
      <c r="B504" s="36" t="s">
        <v>2647</v>
      </c>
      <c r="C504" s="35" t="s">
        <v>286</v>
      </c>
      <c r="D504" s="36" t="s">
        <v>1349</v>
      </c>
      <c r="E504" s="37">
        <v>7.6000000000000003E-7</v>
      </c>
      <c r="F504" s="38">
        <v>3.01805E-3</v>
      </c>
      <c r="G504" s="39">
        <v>355.79300000000001</v>
      </c>
      <c r="H504" s="39">
        <v>3062276</v>
      </c>
      <c r="I504" s="40">
        <v>1014653813</v>
      </c>
      <c r="J504" s="40">
        <v>1014653813</v>
      </c>
      <c r="K504" s="46">
        <v>-0.05</v>
      </c>
      <c r="L504" s="46">
        <v>42.22</v>
      </c>
      <c r="M504" s="46">
        <v>10.97</v>
      </c>
      <c r="N504" s="36">
        <v>500</v>
      </c>
      <c r="O504" s="41">
        <v>42998.867534722223</v>
      </c>
    </row>
    <row r="505" spans="2:15" x14ac:dyDescent="0.25">
      <c r="B505" s="36" t="s">
        <v>2362</v>
      </c>
      <c r="C505" s="35" t="s">
        <v>248</v>
      </c>
      <c r="D505" s="36" t="s">
        <v>1312</v>
      </c>
      <c r="E505" s="37">
        <v>1.0449E-4</v>
      </c>
      <c r="F505" s="38">
        <v>0.37501099999999998</v>
      </c>
      <c r="G505" s="39"/>
      <c r="H505" s="39">
        <v>2919012</v>
      </c>
      <c r="I505" s="40">
        <v>7783804</v>
      </c>
      <c r="J505" s="40">
        <v>15000000</v>
      </c>
      <c r="K505" s="46"/>
      <c r="L505" s="46"/>
      <c r="M505" s="46">
        <v>-18.93</v>
      </c>
      <c r="N505" s="36">
        <v>501</v>
      </c>
      <c r="O505" s="41">
        <v>42995.261250000003</v>
      </c>
    </row>
    <row r="506" spans="2:15" x14ac:dyDescent="0.25">
      <c r="B506" s="36" t="s">
        <v>2385</v>
      </c>
      <c r="C506" s="35" t="s">
        <v>284</v>
      </c>
      <c r="D506" s="36" t="s">
        <v>1347</v>
      </c>
      <c r="E506" s="37">
        <v>2.4336E-4</v>
      </c>
      <c r="F506" s="38">
        <v>0.87342900000000001</v>
      </c>
      <c r="G506" s="39"/>
      <c r="H506" s="39">
        <v>2732348</v>
      </c>
      <c r="I506" s="40">
        <v>3128300</v>
      </c>
      <c r="J506" s="40">
        <v>3128300</v>
      </c>
      <c r="K506" s="46"/>
      <c r="L506" s="46"/>
      <c r="M506" s="46">
        <v>-16.920000000000002</v>
      </c>
      <c r="N506" s="36">
        <v>502</v>
      </c>
      <c r="O506" s="41">
        <v>42995.260138888887</v>
      </c>
    </row>
    <row r="507" spans="2:15" x14ac:dyDescent="0.25">
      <c r="B507" s="36" t="s">
        <v>2646</v>
      </c>
      <c r="C507" s="35" t="s">
        <v>535</v>
      </c>
      <c r="D507" s="36" t="s">
        <v>1590</v>
      </c>
      <c r="E507" s="37">
        <v>2.2117999999999999E-4</v>
      </c>
      <c r="F507" s="38">
        <v>0.85649299999999995</v>
      </c>
      <c r="G507" s="39"/>
      <c r="H507" s="39">
        <v>2569479</v>
      </c>
      <c r="I507" s="40">
        <v>3000000</v>
      </c>
      <c r="J507" s="40">
        <v>60876963</v>
      </c>
      <c r="K507" s="46"/>
      <c r="L507" s="46"/>
      <c r="M507" s="46"/>
      <c r="N507" s="36">
        <v>503</v>
      </c>
      <c r="O507" s="41">
        <v>42996.284629629627</v>
      </c>
    </row>
    <row r="508" spans="2:15" x14ac:dyDescent="0.25">
      <c r="B508" s="36" t="s">
        <v>2649</v>
      </c>
      <c r="C508" s="35" t="s">
        <v>536</v>
      </c>
      <c r="D508" s="36" t="s">
        <v>1591</v>
      </c>
      <c r="E508" s="37">
        <v>5.7658999999999998E-4</v>
      </c>
      <c r="F508" s="38">
        <v>2.45743</v>
      </c>
      <c r="G508" s="39"/>
      <c r="H508" s="39">
        <v>2455838</v>
      </c>
      <c r="I508" s="40">
        <v>999352</v>
      </c>
      <c r="J508" s="40">
        <v>1000000</v>
      </c>
      <c r="K508" s="46"/>
      <c r="L508" s="46"/>
      <c r="M508" s="46"/>
      <c r="N508" s="36">
        <v>504</v>
      </c>
      <c r="O508" s="41">
        <v>42989.610729166663</v>
      </c>
    </row>
    <row r="509" spans="2:15" x14ac:dyDescent="0.25">
      <c r="B509" s="36" t="s">
        <v>2426</v>
      </c>
      <c r="C509" s="35" t="s">
        <v>326</v>
      </c>
      <c r="D509" s="36" t="s">
        <v>1387</v>
      </c>
      <c r="E509" s="37">
        <v>1.2188000000000001E-4</v>
      </c>
      <c r="F509" s="38">
        <v>0.48404000000000003</v>
      </c>
      <c r="G509" s="39">
        <v>85.045900000000003</v>
      </c>
      <c r="H509" s="39">
        <v>2442765</v>
      </c>
      <c r="I509" s="40">
        <v>5046619</v>
      </c>
      <c r="J509" s="40">
        <v>5324245</v>
      </c>
      <c r="K509" s="46">
        <v>-0.53</v>
      </c>
      <c r="L509" s="46">
        <v>2.44</v>
      </c>
      <c r="M509" s="46">
        <v>15.84</v>
      </c>
      <c r="N509" s="36">
        <v>505</v>
      </c>
      <c r="O509" s="41">
        <v>42998.867974537039</v>
      </c>
    </row>
    <row r="510" spans="2:15" x14ac:dyDescent="0.25">
      <c r="B510" s="36" t="s">
        <v>2365</v>
      </c>
      <c r="C510" s="35" t="s">
        <v>218</v>
      </c>
      <c r="D510" s="36" t="s">
        <v>1283</v>
      </c>
      <c r="E510" s="37">
        <v>2.264E-5</v>
      </c>
      <c r="F510" s="38">
        <v>8.1263600000000005E-2</v>
      </c>
      <c r="G510" s="39"/>
      <c r="H510" s="39">
        <v>2437908</v>
      </c>
      <c r="I510" s="40">
        <v>30000000</v>
      </c>
      <c r="J510" s="40">
        <v>30000000</v>
      </c>
      <c r="K510" s="46"/>
      <c r="L510" s="46"/>
      <c r="M510" s="46">
        <v>-7.15</v>
      </c>
      <c r="N510" s="36">
        <v>506</v>
      </c>
      <c r="O510" s="41">
        <v>42995.260428240741</v>
      </c>
    </row>
    <row r="511" spans="2:15" x14ac:dyDescent="0.25">
      <c r="B511" s="36" t="s">
        <v>3006</v>
      </c>
      <c r="C511" s="35" t="s">
        <v>895</v>
      </c>
      <c r="D511" s="36" t="s">
        <v>1931</v>
      </c>
      <c r="E511" s="37">
        <v>2.5744E-4</v>
      </c>
      <c r="F511" s="38">
        <v>1.0322499999999999</v>
      </c>
      <c r="G511" s="39"/>
      <c r="H511" s="39">
        <v>2198051</v>
      </c>
      <c r="I511" s="40">
        <v>2129378</v>
      </c>
      <c r="J511" s="40">
        <v>9129378</v>
      </c>
      <c r="K511" s="46"/>
      <c r="L511" s="46">
        <v>2.42</v>
      </c>
      <c r="M511" s="46">
        <v>16.5</v>
      </c>
      <c r="N511" s="36">
        <v>507</v>
      </c>
      <c r="O511" s="41">
        <v>42998.593761574077</v>
      </c>
    </row>
    <row r="512" spans="2:15" x14ac:dyDescent="0.25">
      <c r="B512" s="36" t="s">
        <v>2378</v>
      </c>
      <c r="C512" s="35" t="s">
        <v>270</v>
      </c>
      <c r="D512" s="36" t="s">
        <v>1334</v>
      </c>
      <c r="E512" s="37">
        <v>1.2913099999999999E-3</v>
      </c>
      <c r="F512" s="38">
        <v>4.6345000000000001</v>
      </c>
      <c r="G512" s="39"/>
      <c r="H512" s="39">
        <v>2158541</v>
      </c>
      <c r="I512" s="40">
        <v>465755</v>
      </c>
      <c r="J512" s="40">
        <v>465755</v>
      </c>
      <c r="K512" s="46"/>
      <c r="L512" s="46"/>
      <c r="M512" s="46">
        <v>-26.69</v>
      </c>
      <c r="N512" s="36">
        <v>508</v>
      </c>
      <c r="O512" s="41">
        <v>42995.260358796295</v>
      </c>
    </row>
    <row r="513" spans="2:15" x14ac:dyDescent="0.25">
      <c r="B513" s="36" t="s">
        <v>2442</v>
      </c>
      <c r="C513" s="35" t="s">
        <v>374</v>
      </c>
      <c r="D513" s="36" t="s">
        <v>1435</v>
      </c>
      <c r="E513" s="37">
        <v>1.1136399999999999E-2</v>
      </c>
      <c r="F513" s="38">
        <v>44.227400000000003</v>
      </c>
      <c r="G513" s="39">
        <v>181.00399999999999</v>
      </c>
      <c r="H513" s="39">
        <v>2100945</v>
      </c>
      <c r="I513" s="40">
        <v>47503</v>
      </c>
      <c r="J513" s="40">
        <v>47503</v>
      </c>
      <c r="K513" s="46">
        <v>-12.67</v>
      </c>
      <c r="L513" s="46">
        <v>16.36</v>
      </c>
      <c r="M513" s="46">
        <v>26.45</v>
      </c>
      <c r="N513" s="36">
        <v>509</v>
      </c>
      <c r="O513" s="41">
        <v>42998.867986111109</v>
      </c>
    </row>
    <row r="514" spans="2:15" x14ac:dyDescent="0.25">
      <c r="B514" s="36" t="s">
        <v>3245</v>
      </c>
      <c r="C514" s="35" t="s">
        <v>3246</v>
      </c>
      <c r="D514" s="36" t="s">
        <v>3246</v>
      </c>
      <c r="E514" s="37">
        <v>1.7899999999999999E-3</v>
      </c>
      <c r="F514" s="38">
        <v>7.1773899999999999</v>
      </c>
      <c r="G514" s="39"/>
      <c r="H514" s="39">
        <v>1945310</v>
      </c>
      <c r="I514" s="40">
        <v>271033</v>
      </c>
      <c r="J514" s="40">
        <v>1091033</v>
      </c>
      <c r="K514" s="46"/>
      <c r="L514" s="46">
        <v>2.42</v>
      </c>
      <c r="M514" s="46">
        <v>117.29</v>
      </c>
      <c r="N514" s="36">
        <v>510</v>
      </c>
      <c r="O514" s="41">
        <v>42998.593761574077</v>
      </c>
    </row>
    <row r="515" spans="2:15" x14ac:dyDescent="0.25">
      <c r="B515" s="36" t="s">
        <v>2914</v>
      </c>
      <c r="C515" s="35" t="s">
        <v>820</v>
      </c>
      <c r="D515" s="36" t="s">
        <v>3211</v>
      </c>
      <c r="E515" s="37">
        <v>3.3683999999999998E-4</v>
      </c>
      <c r="F515" s="38">
        <v>1.33771</v>
      </c>
      <c r="G515" s="39">
        <v>52.933199999999999</v>
      </c>
      <c r="H515" s="39">
        <v>1861562</v>
      </c>
      <c r="I515" s="40">
        <v>1391604</v>
      </c>
      <c r="J515" s="40">
        <v>1634691</v>
      </c>
      <c r="K515" s="46">
        <v>-0.12</v>
      </c>
      <c r="L515" s="46">
        <v>-4.3</v>
      </c>
      <c r="M515" s="46">
        <v>3.65</v>
      </c>
      <c r="N515" s="36">
        <v>511</v>
      </c>
      <c r="O515" s="41">
        <v>42998.867928240739</v>
      </c>
    </row>
    <row r="516" spans="2:15" x14ac:dyDescent="0.25">
      <c r="B516" s="36" t="s">
        <v>2648</v>
      </c>
      <c r="C516" s="35" t="s">
        <v>534</v>
      </c>
      <c r="D516" s="36" t="s">
        <v>1589</v>
      </c>
      <c r="E516" s="37">
        <v>5.9100000000000002E-6</v>
      </c>
      <c r="F516" s="38">
        <v>2.3471100000000002E-2</v>
      </c>
      <c r="G516" s="39">
        <v>0.447965</v>
      </c>
      <c r="H516" s="39">
        <v>1760333</v>
      </c>
      <c r="I516" s="40">
        <v>75000000</v>
      </c>
      <c r="J516" s="40">
        <v>100000000</v>
      </c>
      <c r="K516" s="46">
        <v>-0.05</v>
      </c>
      <c r="L516" s="46">
        <v>1.68</v>
      </c>
      <c r="M516" s="46">
        <v>7.98</v>
      </c>
      <c r="N516" s="36">
        <v>512</v>
      </c>
      <c r="O516" s="41">
        <v>42998.867789351854</v>
      </c>
    </row>
    <row r="517" spans="2:15" x14ac:dyDescent="0.25">
      <c r="B517" s="36" t="s">
        <v>2651</v>
      </c>
      <c r="C517" s="35" t="s">
        <v>537</v>
      </c>
      <c r="D517" s="36" t="s">
        <v>1592</v>
      </c>
      <c r="E517" s="37">
        <v>4.3980000000000002E-5</v>
      </c>
      <c r="F517" s="38">
        <v>0.17466300000000001</v>
      </c>
      <c r="G517" s="39">
        <v>95.946600000000004</v>
      </c>
      <c r="H517" s="39">
        <v>1746666</v>
      </c>
      <c r="I517" s="40">
        <v>10000208</v>
      </c>
      <c r="J517" s="40">
        <v>10000208</v>
      </c>
      <c r="K517" s="46">
        <v>-0.05</v>
      </c>
      <c r="L517" s="46">
        <v>1.51</v>
      </c>
      <c r="M517" s="46">
        <v>9.4600000000000009</v>
      </c>
      <c r="N517" s="36">
        <v>513</v>
      </c>
      <c r="O517" s="41">
        <v>42998.867881944447</v>
      </c>
    </row>
    <row r="518" spans="2:15" x14ac:dyDescent="0.25">
      <c r="B518" s="36" t="s">
        <v>2465</v>
      </c>
      <c r="C518" s="35" t="s">
        <v>363</v>
      </c>
      <c r="D518" s="36" t="s">
        <v>1424</v>
      </c>
      <c r="E518" s="37">
        <v>8.3460000000000004E-5</v>
      </c>
      <c r="F518" s="38">
        <v>0.29954199999999997</v>
      </c>
      <c r="G518" s="39"/>
      <c r="H518" s="39">
        <v>1626004</v>
      </c>
      <c r="I518" s="40">
        <v>5428300</v>
      </c>
      <c r="J518" s="40">
        <v>98928316</v>
      </c>
      <c r="K518" s="46"/>
      <c r="L518" s="46"/>
      <c r="M518" s="46">
        <v>70.11</v>
      </c>
      <c r="N518" s="36">
        <v>514</v>
      </c>
      <c r="O518" s="41">
        <v>42995.260462962964</v>
      </c>
    </row>
    <row r="519" spans="2:15" x14ac:dyDescent="0.25">
      <c r="B519" s="36" t="s">
        <v>2436</v>
      </c>
      <c r="C519" s="35" t="s">
        <v>333</v>
      </c>
      <c r="D519" s="36" t="s">
        <v>1394</v>
      </c>
      <c r="E519" s="37">
        <v>3.2360000000000002E-5</v>
      </c>
      <c r="F519" s="38">
        <v>0.12840699999999999</v>
      </c>
      <c r="G519" s="39">
        <v>303.404</v>
      </c>
      <c r="H519" s="39">
        <v>1599898</v>
      </c>
      <c r="I519" s="40">
        <v>12459589</v>
      </c>
      <c r="J519" s="40">
        <v>12459589</v>
      </c>
      <c r="K519" s="46">
        <v>-0.24</v>
      </c>
      <c r="L519" s="46">
        <v>1.32</v>
      </c>
      <c r="M519" s="46">
        <v>-7.24</v>
      </c>
      <c r="N519" s="36">
        <v>515</v>
      </c>
      <c r="O519" s="41">
        <v>42998.864502314813</v>
      </c>
    </row>
    <row r="520" spans="2:15" x14ac:dyDescent="0.25">
      <c r="B520" s="36" t="s">
        <v>2430</v>
      </c>
      <c r="C520" s="35" t="s">
        <v>355</v>
      </c>
      <c r="D520" s="36" t="s">
        <v>1416</v>
      </c>
      <c r="E520" s="37">
        <v>4.7360000000000002E-4</v>
      </c>
      <c r="F520" s="38">
        <v>1.88086</v>
      </c>
      <c r="G520" s="39">
        <v>111.843</v>
      </c>
      <c r="H520" s="39">
        <v>1598731</v>
      </c>
      <c r="I520" s="40">
        <v>850000</v>
      </c>
      <c r="J520" s="40">
        <v>12500000</v>
      </c>
      <c r="K520" s="46">
        <v>-0.12</v>
      </c>
      <c r="L520" s="46">
        <v>-14.57</v>
      </c>
      <c r="M520" s="46">
        <v>10.38</v>
      </c>
      <c r="N520" s="36">
        <v>516</v>
      </c>
      <c r="O520" s="41">
        <v>42998.868009259262</v>
      </c>
    </row>
    <row r="521" spans="2:15" x14ac:dyDescent="0.25">
      <c r="B521" s="36" t="s">
        <v>2416</v>
      </c>
      <c r="C521" s="35" t="s">
        <v>322</v>
      </c>
      <c r="D521" s="36" t="s">
        <v>1384</v>
      </c>
      <c r="E521" s="37">
        <v>3.7960000000000002E-5</v>
      </c>
      <c r="F521" s="38">
        <v>0.150755</v>
      </c>
      <c r="G521" s="39">
        <v>47.044800000000002</v>
      </c>
      <c r="H521" s="39">
        <v>1507550</v>
      </c>
      <c r="I521" s="40">
        <v>10000000</v>
      </c>
      <c r="J521" s="40">
        <v>10000000</v>
      </c>
      <c r="K521" s="46">
        <v>-0.05</v>
      </c>
      <c r="L521" s="46">
        <v>1.48</v>
      </c>
      <c r="M521" s="46">
        <v>6.48</v>
      </c>
      <c r="N521" s="36">
        <v>517</v>
      </c>
      <c r="O521" s="41">
        <v>42998.867893518516</v>
      </c>
    </row>
    <row r="522" spans="2:15" x14ac:dyDescent="0.25">
      <c r="B522" s="36" t="s">
        <v>2666</v>
      </c>
      <c r="C522" s="35" t="s">
        <v>557</v>
      </c>
      <c r="D522" s="36" t="s">
        <v>1612</v>
      </c>
      <c r="E522" s="37">
        <v>9.3000000000000007E-6</v>
      </c>
      <c r="F522" s="38">
        <v>3.6934300000000003E-2</v>
      </c>
      <c r="G522" s="39">
        <v>0.66481699999999999</v>
      </c>
      <c r="H522" s="39">
        <v>1425708</v>
      </c>
      <c r="I522" s="40">
        <v>38601187</v>
      </c>
      <c r="J522" s="40">
        <v>38601187</v>
      </c>
      <c r="K522" s="46">
        <v>-0.05</v>
      </c>
      <c r="L522" s="46">
        <v>18.34</v>
      </c>
      <c r="M522" s="46">
        <v>159.96</v>
      </c>
      <c r="N522" s="36">
        <v>518</v>
      </c>
      <c r="O522" s="41">
        <v>42998.867395833331</v>
      </c>
    </row>
    <row r="523" spans="2:15" x14ac:dyDescent="0.25">
      <c r="B523" s="36" t="s">
        <v>2421</v>
      </c>
      <c r="C523" s="35" t="s">
        <v>318</v>
      </c>
      <c r="D523" s="36" t="s">
        <v>1380</v>
      </c>
      <c r="E523" s="37">
        <v>1.506E-5</v>
      </c>
      <c r="F523" s="38">
        <v>5.9804299999999998E-2</v>
      </c>
      <c r="G523" s="39">
        <v>306.947</v>
      </c>
      <c r="H523" s="39">
        <v>1284321</v>
      </c>
      <c r="I523" s="40">
        <v>21475398</v>
      </c>
      <c r="J523" s="40">
        <v>25201489</v>
      </c>
      <c r="K523" s="46">
        <v>-1.86</v>
      </c>
      <c r="L523" s="46">
        <v>27.39</v>
      </c>
      <c r="M523" s="46">
        <v>6.37</v>
      </c>
      <c r="N523" s="36">
        <v>519</v>
      </c>
      <c r="O523" s="41">
        <v>42998.867812500001</v>
      </c>
    </row>
    <row r="524" spans="2:15" x14ac:dyDescent="0.25">
      <c r="B524" s="36" t="s">
        <v>2473</v>
      </c>
      <c r="C524" s="35" t="s">
        <v>550</v>
      </c>
      <c r="D524" s="36" t="s">
        <v>1604</v>
      </c>
      <c r="E524" s="37">
        <v>4.3189999999999998E-5</v>
      </c>
      <c r="F524" s="38">
        <v>0.17152600000000001</v>
      </c>
      <c r="G524" s="39">
        <v>19.507400000000001</v>
      </c>
      <c r="H524" s="39">
        <v>1038473</v>
      </c>
      <c r="I524" s="40">
        <v>6054317</v>
      </c>
      <c r="J524" s="40">
        <v>6054317</v>
      </c>
      <c r="K524" s="46">
        <v>-0.05</v>
      </c>
      <c r="L524" s="46"/>
      <c r="M524" s="46">
        <v>-7.32</v>
      </c>
      <c r="N524" s="36">
        <v>520</v>
      </c>
      <c r="O524" s="41">
        <v>42998.867511574077</v>
      </c>
    </row>
    <row r="525" spans="2:15" x14ac:dyDescent="0.25">
      <c r="B525" s="36" t="s">
        <v>2472</v>
      </c>
      <c r="C525" s="35" t="s">
        <v>373</v>
      </c>
      <c r="D525" s="36" t="s">
        <v>1434</v>
      </c>
      <c r="E525" s="37">
        <v>1.549E-4</v>
      </c>
      <c r="F525" s="38">
        <v>0.61470599999999997</v>
      </c>
      <c r="G525" s="39">
        <v>3.1852399999999998</v>
      </c>
      <c r="H525" s="39">
        <v>972177</v>
      </c>
      <c r="I525" s="40">
        <v>1581531</v>
      </c>
      <c r="J525" s="40">
        <v>1861531</v>
      </c>
      <c r="K525" s="46">
        <v>-0.45</v>
      </c>
      <c r="L525" s="46">
        <v>26.49</v>
      </c>
      <c r="M525" s="46">
        <v>20.85</v>
      </c>
      <c r="N525" s="36">
        <v>521</v>
      </c>
      <c r="O525" s="41">
        <v>42998.86451388889</v>
      </c>
    </row>
    <row r="526" spans="2:15" x14ac:dyDescent="0.25">
      <c r="B526" s="36" t="s">
        <v>2457</v>
      </c>
      <c r="C526" s="35" t="s">
        <v>356</v>
      </c>
      <c r="D526" s="36" t="s">
        <v>1417</v>
      </c>
      <c r="E526" s="37">
        <v>2.349E-5</v>
      </c>
      <c r="F526" s="38">
        <v>9.3288899999999994E-2</v>
      </c>
      <c r="G526" s="39">
        <v>12.8162</v>
      </c>
      <c r="H526" s="39">
        <v>964898</v>
      </c>
      <c r="I526" s="40">
        <v>10343113</v>
      </c>
      <c r="J526" s="40">
        <v>38602656</v>
      </c>
      <c r="K526" s="46">
        <v>-0.05</v>
      </c>
      <c r="L526" s="46">
        <v>1.51</v>
      </c>
      <c r="M526" s="46">
        <v>-2.2400000000000002</v>
      </c>
      <c r="N526" s="36">
        <v>522</v>
      </c>
      <c r="O526" s="41">
        <v>42998.867881944447</v>
      </c>
    </row>
    <row r="527" spans="2:15" x14ac:dyDescent="0.25">
      <c r="B527" s="36" t="s">
        <v>2654</v>
      </c>
      <c r="C527" s="35" t="s">
        <v>541</v>
      </c>
      <c r="D527" s="36" t="s">
        <v>1595</v>
      </c>
      <c r="E527" s="37">
        <v>4.8999999999999997E-7</v>
      </c>
      <c r="F527" s="38">
        <v>1.95017E-3</v>
      </c>
      <c r="G527" s="39"/>
      <c r="H527" s="39">
        <v>963119</v>
      </c>
      <c r="I527" s="40">
        <v>493863915</v>
      </c>
      <c r="J527" s="40">
        <v>493863915</v>
      </c>
      <c r="K527" s="46"/>
      <c r="L527" s="46"/>
      <c r="M527" s="46">
        <v>18.5</v>
      </c>
      <c r="N527" s="36">
        <v>523</v>
      </c>
      <c r="O527" s="41">
        <v>42997.200821759259</v>
      </c>
    </row>
    <row r="528" spans="2:15" x14ac:dyDescent="0.25">
      <c r="B528" s="36" t="s">
        <v>2667</v>
      </c>
      <c r="C528" s="35" t="s">
        <v>561</v>
      </c>
      <c r="D528" s="36" t="s">
        <v>1615</v>
      </c>
      <c r="E528" s="37">
        <v>2E-8</v>
      </c>
      <c r="F528" s="38">
        <v>7.94286E-5</v>
      </c>
      <c r="G528" s="39">
        <v>10.9658</v>
      </c>
      <c r="H528" s="39">
        <v>873422</v>
      </c>
      <c r="I528" s="40">
        <v>10996318099</v>
      </c>
      <c r="J528" s="40">
        <v>20996318099</v>
      </c>
      <c r="K528" s="46">
        <v>-0.12</v>
      </c>
      <c r="L528" s="46">
        <v>21.84</v>
      </c>
      <c r="M528" s="46">
        <v>4.05</v>
      </c>
      <c r="N528" s="36">
        <v>524</v>
      </c>
      <c r="O528" s="41">
        <v>42998.867696759262</v>
      </c>
    </row>
    <row r="529" spans="2:15" x14ac:dyDescent="0.25">
      <c r="B529" s="36" t="s">
        <v>2657</v>
      </c>
      <c r="C529" s="35" t="s">
        <v>544</v>
      </c>
      <c r="D529" s="36" t="s">
        <v>1598</v>
      </c>
      <c r="E529" s="37">
        <v>5.9599999999999997E-6</v>
      </c>
      <c r="F529" s="38">
        <v>2.38809E-2</v>
      </c>
      <c r="G529" s="39"/>
      <c r="H529" s="39">
        <v>843016</v>
      </c>
      <c r="I529" s="40">
        <v>35300866</v>
      </c>
      <c r="J529" s="40">
        <v>100000000</v>
      </c>
      <c r="K529" s="46"/>
      <c r="L529" s="46"/>
      <c r="M529" s="46">
        <v>1.58</v>
      </c>
      <c r="N529" s="36">
        <v>525</v>
      </c>
      <c r="O529" s="41">
        <v>42997.708287037036</v>
      </c>
    </row>
    <row r="530" spans="2:15" x14ac:dyDescent="0.25">
      <c r="B530" s="36" t="s">
        <v>3070</v>
      </c>
      <c r="C530" s="35" t="s">
        <v>951</v>
      </c>
      <c r="D530" s="36" t="s">
        <v>1980</v>
      </c>
      <c r="E530" s="37">
        <v>2.283E-5</v>
      </c>
      <c r="F530" s="38">
        <v>9.1541800000000006E-2</v>
      </c>
      <c r="G530" s="39"/>
      <c r="H530" s="39">
        <v>842185</v>
      </c>
      <c r="I530" s="40">
        <v>9200000</v>
      </c>
      <c r="J530" s="40">
        <v>2400000000</v>
      </c>
      <c r="K530" s="46"/>
      <c r="L530" s="46">
        <v>2.48</v>
      </c>
      <c r="M530" s="46">
        <v>14.99</v>
      </c>
      <c r="N530" s="36">
        <v>526</v>
      </c>
      <c r="O530" s="41">
        <v>42998.593645833331</v>
      </c>
    </row>
    <row r="531" spans="2:15" x14ac:dyDescent="0.25">
      <c r="B531" s="36" t="s">
        <v>2494</v>
      </c>
      <c r="C531" s="35" t="s">
        <v>398</v>
      </c>
      <c r="D531" s="36" t="s">
        <v>1457</v>
      </c>
      <c r="E531" s="37">
        <v>2.1229999999999998E-5</v>
      </c>
      <c r="F531" s="38">
        <v>9.8357399999999998E-2</v>
      </c>
      <c r="G531" s="39"/>
      <c r="H531" s="39">
        <v>777775</v>
      </c>
      <c r="I531" s="40">
        <v>7907644</v>
      </c>
      <c r="J531" s="40">
        <v>7907644</v>
      </c>
      <c r="K531" s="46"/>
      <c r="L531" s="46"/>
      <c r="M531" s="46"/>
      <c r="N531" s="36">
        <v>527</v>
      </c>
      <c r="O531" s="41">
        <v>42985.75341435185</v>
      </c>
    </row>
    <row r="532" spans="2:15" x14ac:dyDescent="0.25">
      <c r="B532" s="36" t="s">
        <v>2481</v>
      </c>
      <c r="C532" s="35" t="s">
        <v>383</v>
      </c>
      <c r="D532" s="36" t="s">
        <v>1443</v>
      </c>
      <c r="E532" s="37">
        <v>2.427E-5</v>
      </c>
      <c r="F532" s="38">
        <v>9.6386600000000003E-2</v>
      </c>
      <c r="G532" s="39">
        <v>65.731300000000005</v>
      </c>
      <c r="H532" s="39">
        <v>774485</v>
      </c>
      <c r="I532" s="40">
        <v>8035193</v>
      </c>
      <c r="J532" s="40">
        <v>8035193</v>
      </c>
      <c r="K532" s="46">
        <v>-0.18</v>
      </c>
      <c r="L532" s="46">
        <v>1.55</v>
      </c>
      <c r="M532" s="46">
        <v>-1.03</v>
      </c>
      <c r="N532" s="36">
        <v>528</v>
      </c>
      <c r="O532" s="41">
        <v>42998.867696759262</v>
      </c>
    </row>
    <row r="533" spans="2:15" x14ac:dyDescent="0.25">
      <c r="B533" s="36" t="s">
        <v>3023</v>
      </c>
      <c r="C533" s="35" t="s">
        <v>922</v>
      </c>
      <c r="D533" s="36" t="s">
        <v>1953</v>
      </c>
      <c r="E533" s="37">
        <v>3.9994E-4</v>
      </c>
      <c r="F533" s="38">
        <v>1.58833</v>
      </c>
      <c r="G533" s="39">
        <v>1.58833</v>
      </c>
      <c r="H533" s="39">
        <v>761166</v>
      </c>
      <c r="I533" s="40">
        <v>479224</v>
      </c>
      <c r="J533" s="40">
        <v>84000000</v>
      </c>
      <c r="K533" s="46">
        <v>-0.05</v>
      </c>
      <c r="L533" s="46">
        <v>1.5</v>
      </c>
      <c r="M533" s="46">
        <v>36.75</v>
      </c>
      <c r="N533" s="36">
        <v>529</v>
      </c>
      <c r="O533" s="41">
        <v>42998.867962962962</v>
      </c>
    </row>
    <row r="534" spans="2:15" x14ac:dyDescent="0.25">
      <c r="B534" s="36" t="s">
        <v>2470</v>
      </c>
      <c r="C534" s="35" t="s">
        <v>414</v>
      </c>
      <c r="D534" s="36" t="s">
        <v>414</v>
      </c>
      <c r="E534" s="37">
        <v>1.0000000000000001E-9</v>
      </c>
      <c r="F534" s="38">
        <v>4.9778E-6</v>
      </c>
      <c r="G534" s="39">
        <v>169.74700000000001</v>
      </c>
      <c r="H534" s="39">
        <v>729741</v>
      </c>
      <c r="I534" s="40">
        <v>146598832330</v>
      </c>
      <c r="J534" s="40">
        <v>205741984765</v>
      </c>
      <c r="K534" s="46">
        <v>0.13</v>
      </c>
      <c r="L534" s="46">
        <v>46.12</v>
      </c>
      <c r="M534" s="46">
        <v>40.75</v>
      </c>
      <c r="N534" s="36">
        <v>530</v>
      </c>
      <c r="O534" s="41">
        <v>42998.867777777778</v>
      </c>
    </row>
    <row r="535" spans="2:15" x14ac:dyDescent="0.25">
      <c r="B535" s="36" t="s">
        <v>2491</v>
      </c>
      <c r="C535" s="35" t="s">
        <v>390</v>
      </c>
      <c r="D535" s="36" t="s">
        <v>390</v>
      </c>
      <c r="E535" s="37">
        <v>4.2740000000000001E-5</v>
      </c>
      <c r="F535" s="38">
        <v>0.16973199999999999</v>
      </c>
      <c r="G535" s="39">
        <v>287.68099999999998</v>
      </c>
      <c r="H535" s="39">
        <v>710838</v>
      </c>
      <c r="I535" s="40">
        <v>4188000</v>
      </c>
      <c r="J535" s="40">
        <v>5762000</v>
      </c>
      <c r="K535" s="46">
        <v>0.11</v>
      </c>
      <c r="L535" s="46">
        <v>-17.670000000000002</v>
      </c>
      <c r="M535" s="46">
        <v>210.27</v>
      </c>
      <c r="N535" s="36">
        <v>531</v>
      </c>
      <c r="O535" s="41">
        <v>42998.867962962962</v>
      </c>
    </row>
    <row r="536" spans="2:15" x14ac:dyDescent="0.25">
      <c r="B536" s="36" t="s">
        <v>2495</v>
      </c>
      <c r="C536" s="35" t="s">
        <v>393</v>
      </c>
      <c r="D536" s="36" t="s">
        <v>1452</v>
      </c>
      <c r="E536" s="37">
        <v>3.0260000000000002E-5</v>
      </c>
      <c r="F536" s="38">
        <v>0.120185</v>
      </c>
      <c r="G536" s="39">
        <v>71.898300000000006</v>
      </c>
      <c r="H536" s="39">
        <v>681689</v>
      </c>
      <c r="I536" s="40">
        <v>5671998</v>
      </c>
      <c r="J536" s="40">
        <v>10672001</v>
      </c>
      <c r="K536" s="46">
        <v>8</v>
      </c>
      <c r="L536" s="46">
        <v>7.95</v>
      </c>
      <c r="M536" s="46">
        <v>-5.88</v>
      </c>
      <c r="N536" s="36">
        <v>532</v>
      </c>
      <c r="O536" s="41">
        <v>42998.867939814816</v>
      </c>
    </row>
    <row r="537" spans="2:15" x14ac:dyDescent="0.25">
      <c r="B537" s="36" t="s">
        <v>2660</v>
      </c>
      <c r="C537" s="35" t="s">
        <v>547</v>
      </c>
      <c r="D537" s="36" t="s">
        <v>1601</v>
      </c>
      <c r="E537" s="37">
        <v>2.5199999999999999E-5</v>
      </c>
      <c r="F537" s="38">
        <v>0.10008</v>
      </c>
      <c r="G537" s="39">
        <v>0.85067999999999999</v>
      </c>
      <c r="H537" s="39">
        <v>670049</v>
      </c>
      <c r="I537" s="40">
        <v>6695133</v>
      </c>
      <c r="J537" s="40">
        <v>6695133</v>
      </c>
      <c r="K537" s="46">
        <v>-0.12</v>
      </c>
      <c r="L537" s="46">
        <v>-14.63</v>
      </c>
      <c r="M537" s="46">
        <v>-0.83</v>
      </c>
      <c r="N537" s="36">
        <v>533</v>
      </c>
      <c r="O537" s="41">
        <v>42998.867488425924</v>
      </c>
    </row>
    <row r="538" spans="2:15" x14ac:dyDescent="0.25">
      <c r="B538" s="36" t="s">
        <v>2970</v>
      </c>
      <c r="C538" s="35" t="s">
        <v>878</v>
      </c>
      <c r="D538" s="36" t="s">
        <v>1916</v>
      </c>
      <c r="E538" s="37">
        <v>3.2190000000000002E-5</v>
      </c>
      <c r="F538" s="38">
        <v>0.12907299999999999</v>
      </c>
      <c r="G538" s="39"/>
      <c r="H538" s="39">
        <v>648510</v>
      </c>
      <c r="I538" s="40">
        <v>5024368</v>
      </c>
      <c r="J538" s="40">
        <v>40024368</v>
      </c>
      <c r="K538" s="46"/>
      <c r="L538" s="46">
        <v>2.48</v>
      </c>
      <c r="M538" s="46">
        <v>66.430000000000007</v>
      </c>
      <c r="N538" s="36">
        <v>534</v>
      </c>
      <c r="O538" s="41">
        <v>42998.593645833331</v>
      </c>
    </row>
    <row r="539" spans="2:15" x14ac:dyDescent="0.25">
      <c r="B539" s="36" t="s">
        <v>2519</v>
      </c>
      <c r="C539" s="35" t="s">
        <v>413</v>
      </c>
      <c r="D539" s="36" t="s">
        <v>1471</v>
      </c>
      <c r="E539" s="37">
        <v>2.2000000000000001E-6</v>
      </c>
      <c r="F539" s="38">
        <v>8.7262899999999994E-3</v>
      </c>
      <c r="G539" s="39">
        <v>50.494300000000003</v>
      </c>
      <c r="H539" s="39">
        <v>636937</v>
      </c>
      <c r="I539" s="40">
        <v>72990639</v>
      </c>
      <c r="J539" s="40">
        <v>72990639</v>
      </c>
      <c r="K539" s="46">
        <v>-0.18</v>
      </c>
      <c r="L539" s="46">
        <v>-3.16</v>
      </c>
      <c r="M539" s="46">
        <v>47.74</v>
      </c>
      <c r="N539" s="36">
        <v>535</v>
      </c>
      <c r="O539" s="41">
        <v>42998.867430555554</v>
      </c>
    </row>
    <row r="540" spans="2:15" x14ac:dyDescent="0.25">
      <c r="B540" s="36" t="s">
        <v>2663</v>
      </c>
      <c r="C540" s="35" t="s">
        <v>555</v>
      </c>
      <c r="D540" s="36" t="s">
        <v>1610</v>
      </c>
      <c r="E540" s="37">
        <v>7.8319999999999996E-5</v>
      </c>
      <c r="F540" s="38">
        <v>0.31363799999999997</v>
      </c>
      <c r="G540" s="39"/>
      <c r="H540" s="39">
        <v>624419</v>
      </c>
      <c r="I540" s="40">
        <v>1990891</v>
      </c>
      <c r="J540" s="40">
        <v>1990891</v>
      </c>
      <c r="K540" s="46"/>
      <c r="L540" s="46">
        <v>2.34</v>
      </c>
      <c r="M540" s="46">
        <v>9.25</v>
      </c>
      <c r="N540" s="36">
        <v>536</v>
      </c>
      <c r="O540" s="41">
        <v>42998.80159722222</v>
      </c>
    </row>
    <row r="541" spans="2:15" x14ac:dyDescent="0.25">
      <c r="B541" s="36" t="s">
        <v>2428</v>
      </c>
      <c r="C541" s="35" t="s">
        <v>327</v>
      </c>
      <c r="D541" s="36" t="s">
        <v>1388</v>
      </c>
      <c r="E541" s="37">
        <v>3.6218800000000001E-3</v>
      </c>
      <c r="F541" s="38">
        <v>14.384</v>
      </c>
      <c r="G541" s="39">
        <v>1.91293</v>
      </c>
      <c r="H541" s="39">
        <v>615204</v>
      </c>
      <c r="I541" s="40">
        <v>42770</v>
      </c>
      <c r="J541" s="40">
        <v>48770</v>
      </c>
      <c r="K541" s="46">
        <v>-0.12</v>
      </c>
      <c r="L541" s="46"/>
      <c r="M541" s="46">
        <v>85.81</v>
      </c>
      <c r="N541" s="36">
        <v>537</v>
      </c>
      <c r="O541" s="41">
        <v>42998.867986111109</v>
      </c>
    </row>
    <row r="542" spans="2:15" x14ac:dyDescent="0.25">
      <c r="B542" s="36" t="s">
        <v>2926</v>
      </c>
      <c r="C542" s="35" t="s">
        <v>822</v>
      </c>
      <c r="D542" s="36" t="s">
        <v>1861</v>
      </c>
      <c r="E542" s="37">
        <v>1E-8</v>
      </c>
      <c r="F542" s="38">
        <v>3.97143E-5</v>
      </c>
      <c r="G542" s="39">
        <v>99.915999999999997</v>
      </c>
      <c r="H542" s="39">
        <v>608446</v>
      </c>
      <c r="I542" s="40">
        <v>15320585365</v>
      </c>
      <c r="J542" s="40">
        <v>15320585365</v>
      </c>
      <c r="K542" s="46">
        <v>-0.05</v>
      </c>
      <c r="L542" s="46">
        <v>1.51</v>
      </c>
      <c r="M542" s="46">
        <v>53176.7</v>
      </c>
      <c r="N542" s="36">
        <v>538</v>
      </c>
      <c r="O542" s="41">
        <v>42998.867754629631</v>
      </c>
    </row>
    <row r="543" spans="2:15" x14ac:dyDescent="0.25">
      <c r="B543" s="36" t="s">
        <v>2504</v>
      </c>
      <c r="C543" s="35" t="s">
        <v>399</v>
      </c>
      <c r="D543" s="36" t="s">
        <v>1458</v>
      </c>
      <c r="E543" s="37">
        <v>3.4579800000000001E-2</v>
      </c>
      <c r="F543" s="38">
        <v>124.10599999999999</v>
      </c>
      <c r="G543" s="39"/>
      <c r="H543" s="39">
        <v>592358</v>
      </c>
      <c r="I543" s="40">
        <v>4773</v>
      </c>
      <c r="J543" s="40">
        <v>4773</v>
      </c>
      <c r="K543" s="46"/>
      <c r="L543" s="46"/>
      <c r="M543" s="46">
        <v>-23.78</v>
      </c>
      <c r="N543" s="36">
        <v>539</v>
      </c>
      <c r="O543" s="41">
        <v>42995.261180555557</v>
      </c>
    </row>
    <row r="544" spans="2:15" x14ac:dyDescent="0.25">
      <c r="B544" s="36" t="s">
        <v>2661</v>
      </c>
      <c r="C544" s="35" t="s">
        <v>551</v>
      </c>
      <c r="D544" s="36" t="s">
        <v>1605</v>
      </c>
      <c r="E544" s="37">
        <v>1.4329999999999999E-4</v>
      </c>
      <c r="F544" s="38">
        <v>0.56911500000000004</v>
      </c>
      <c r="G544" s="39">
        <v>23.902799999999999</v>
      </c>
      <c r="H544" s="39">
        <v>569115</v>
      </c>
      <c r="I544" s="40">
        <v>1000000</v>
      </c>
      <c r="J544" s="40">
        <v>1000000</v>
      </c>
      <c r="K544" s="46">
        <v>0.02</v>
      </c>
      <c r="L544" s="46">
        <v>-11.54</v>
      </c>
      <c r="M544" s="46">
        <v>-44.16</v>
      </c>
      <c r="N544" s="36">
        <v>540</v>
      </c>
      <c r="O544" s="41">
        <v>42998.86787037037</v>
      </c>
    </row>
    <row r="545" spans="2:15" x14ac:dyDescent="0.25">
      <c r="B545" s="36" t="s">
        <v>2511</v>
      </c>
      <c r="C545" s="35" t="s">
        <v>552</v>
      </c>
      <c r="D545" s="36" t="s">
        <v>1606</v>
      </c>
      <c r="E545" s="37">
        <v>1.4500000000000001E-6</v>
      </c>
      <c r="F545" s="38">
        <v>5.7556899999999999E-3</v>
      </c>
      <c r="G545" s="39">
        <v>228.74100000000001</v>
      </c>
      <c r="H545" s="39">
        <v>560694</v>
      </c>
      <c r="I545" s="40">
        <v>97415544</v>
      </c>
      <c r="J545" s="40">
        <v>97415544</v>
      </c>
      <c r="K545" s="46">
        <v>-0.04</v>
      </c>
      <c r="L545" s="46">
        <v>0.12</v>
      </c>
      <c r="M545" s="46">
        <v>1.47</v>
      </c>
      <c r="N545" s="36">
        <v>541</v>
      </c>
      <c r="O545" s="41">
        <v>42998.867476851854</v>
      </c>
    </row>
    <row r="546" spans="2:15" x14ac:dyDescent="0.25">
      <c r="B546" s="36" t="s">
        <v>2557</v>
      </c>
      <c r="C546" s="35" t="s">
        <v>448</v>
      </c>
      <c r="D546" s="36" t="s">
        <v>448</v>
      </c>
      <c r="E546" s="37">
        <v>5.2009999999999998E-5</v>
      </c>
      <c r="F546" s="38">
        <v>0.20852899999999999</v>
      </c>
      <c r="G546" s="39"/>
      <c r="H546" s="39">
        <v>520750</v>
      </c>
      <c r="I546" s="40">
        <v>2497257</v>
      </c>
      <c r="J546" s="40">
        <v>2497257</v>
      </c>
      <c r="K546" s="46"/>
      <c r="L546" s="46">
        <v>2.4500000000000002</v>
      </c>
      <c r="M546" s="46">
        <v>-9.85</v>
      </c>
      <c r="N546" s="36">
        <v>542</v>
      </c>
      <c r="O546" s="41">
        <v>42998.593726851854</v>
      </c>
    </row>
    <row r="547" spans="2:15" x14ac:dyDescent="0.25">
      <c r="B547" s="36" t="s">
        <v>2510</v>
      </c>
      <c r="C547" s="35" t="s">
        <v>546</v>
      </c>
      <c r="D547" s="36" t="s">
        <v>1600</v>
      </c>
      <c r="E547" s="37">
        <v>2.1330000000000001E-5</v>
      </c>
      <c r="F547" s="38">
        <v>8.4721900000000003E-2</v>
      </c>
      <c r="G547" s="39">
        <v>20.951000000000001</v>
      </c>
      <c r="H547" s="39">
        <v>495503</v>
      </c>
      <c r="I547" s="40">
        <v>5848581</v>
      </c>
      <c r="J547" s="40">
        <v>100000000</v>
      </c>
      <c r="K547" s="46">
        <v>-0.11</v>
      </c>
      <c r="L547" s="46">
        <v>-0.39</v>
      </c>
      <c r="M547" s="46">
        <v>0.15</v>
      </c>
      <c r="N547" s="36">
        <v>543</v>
      </c>
      <c r="O547" s="41">
        <v>42998.867905092593</v>
      </c>
    </row>
    <row r="548" spans="2:15" x14ac:dyDescent="0.25">
      <c r="B548" s="36" t="s">
        <v>2655</v>
      </c>
      <c r="C548" s="35" t="s">
        <v>556</v>
      </c>
      <c r="D548" s="36" t="s">
        <v>1611</v>
      </c>
      <c r="E548" s="37">
        <v>1.59E-6</v>
      </c>
      <c r="F548" s="38">
        <v>6.3145700000000003E-3</v>
      </c>
      <c r="G548" s="39">
        <v>45.6494</v>
      </c>
      <c r="H548" s="39">
        <v>485752</v>
      </c>
      <c r="I548" s="40">
        <v>76925527</v>
      </c>
      <c r="J548" s="40">
        <v>76925527</v>
      </c>
      <c r="K548" s="46">
        <v>-0.12</v>
      </c>
      <c r="L548" s="46">
        <v>-41.95</v>
      </c>
      <c r="M548" s="46">
        <v>-40.17</v>
      </c>
      <c r="N548" s="36">
        <v>544</v>
      </c>
      <c r="O548" s="41">
        <v>42998.867615740739</v>
      </c>
    </row>
    <row r="549" spans="2:15" x14ac:dyDescent="0.25">
      <c r="B549" s="36" t="s">
        <v>3217</v>
      </c>
      <c r="C549" s="35" t="s">
        <v>3203</v>
      </c>
      <c r="D549" s="36" t="s">
        <v>1607</v>
      </c>
      <c r="E549" s="37">
        <v>2.7000000000000001E-7</v>
      </c>
      <c r="F549" s="38">
        <v>1.07229E-3</v>
      </c>
      <c r="G549" s="39">
        <v>189.11699999999999</v>
      </c>
      <c r="H549" s="39">
        <v>473254</v>
      </c>
      <c r="I549" s="40">
        <v>441349000</v>
      </c>
      <c r="J549" s="40">
        <v>888000000</v>
      </c>
      <c r="K549" s="46">
        <v>-0.05</v>
      </c>
      <c r="L549" s="46">
        <v>27.27</v>
      </c>
      <c r="M549" s="46">
        <v>83.75</v>
      </c>
      <c r="N549" s="36">
        <v>545</v>
      </c>
      <c r="O549" s="41">
        <v>42998.867974537039</v>
      </c>
    </row>
    <row r="550" spans="2:15" x14ac:dyDescent="0.25">
      <c r="B550" s="36" t="s">
        <v>2505</v>
      </c>
      <c r="C550" s="35" t="s">
        <v>400</v>
      </c>
      <c r="D550" s="36" t="s">
        <v>1459</v>
      </c>
      <c r="E550" s="37">
        <v>4.9999999999999998E-8</v>
      </c>
      <c r="F550" s="38">
        <v>2.0009100000000001E-4</v>
      </c>
      <c r="G550" s="39">
        <v>420.24900000000002</v>
      </c>
      <c r="H550" s="39">
        <v>461062</v>
      </c>
      <c r="I550" s="40">
        <v>2304260474</v>
      </c>
      <c r="J550" s="40">
        <v>2304260474</v>
      </c>
      <c r="K550" s="46">
        <v>-0.24</v>
      </c>
      <c r="L550" s="46">
        <v>1.58</v>
      </c>
      <c r="M550" s="46">
        <v>-14.64</v>
      </c>
      <c r="N550" s="36">
        <v>546</v>
      </c>
      <c r="O550" s="41">
        <v>42998.867430555554</v>
      </c>
    </row>
    <row r="551" spans="2:15" x14ac:dyDescent="0.25">
      <c r="B551" s="36" t="s">
        <v>2675</v>
      </c>
      <c r="C551" s="35" t="s">
        <v>562</v>
      </c>
      <c r="D551" s="36" t="s">
        <v>1616</v>
      </c>
      <c r="E551" s="37">
        <v>2.4200000000000001E-6</v>
      </c>
      <c r="F551" s="38">
        <v>9.6293400000000001E-3</v>
      </c>
      <c r="G551" s="39">
        <v>77.6952</v>
      </c>
      <c r="H551" s="39">
        <v>442950</v>
      </c>
      <c r="I551" s="40">
        <v>46000000</v>
      </c>
      <c r="J551" s="40">
        <v>50000000</v>
      </c>
      <c r="K551" s="46">
        <v>6.09</v>
      </c>
      <c r="L551" s="46">
        <v>1.38</v>
      </c>
      <c r="M551" s="46">
        <v>78.73</v>
      </c>
      <c r="N551" s="36">
        <v>547</v>
      </c>
      <c r="O551" s="41">
        <v>42998.867951388886</v>
      </c>
    </row>
    <row r="552" spans="2:15" x14ac:dyDescent="0.25">
      <c r="B552" s="36" t="s">
        <v>2659</v>
      </c>
      <c r="C552" s="35" t="s">
        <v>545</v>
      </c>
      <c r="D552" s="36" t="s">
        <v>1599</v>
      </c>
      <c r="E552" s="37">
        <v>1.6899999999999999E-6</v>
      </c>
      <c r="F552" s="38">
        <v>6.71172E-3</v>
      </c>
      <c r="G552" s="39">
        <v>217.345</v>
      </c>
      <c r="H552" s="39">
        <v>437410</v>
      </c>
      <c r="I552" s="40">
        <v>65171010</v>
      </c>
      <c r="J552" s="40">
        <v>65171010</v>
      </c>
      <c r="K552" s="46">
        <v>-0.05</v>
      </c>
      <c r="L552" s="46">
        <v>-28.83</v>
      </c>
      <c r="M552" s="46">
        <v>-15.92</v>
      </c>
      <c r="N552" s="36">
        <v>548</v>
      </c>
      <c r="O552" s="41">
        <v>42998.867407407408</v>
      </c>
    </row>
    <row r="553" spans="2:15" x14ac:dyDescent="0.25">
      <c r="B553" s="36" t="s">
        <v>2509</v>
      </c>
      <c r="C553" s="35" t="s">
        <v>406</v>
      </c>
      <c r="D553" s="36" t="s">
        <v>1464</v>
      </c>
      <c r="E553" s="37">
        <v>8.0000000000000005E-9</v>
      </c>
      <c r="F553" s="38">
        <v>2.9520399999999999E-5</v>
      </c>
      <c r="G553" s="39"/>
      <c r="H553" s="39">
        <v>434260</v>
      </c>
      <c r="I553" s="40">
        <v>14710507500</v>
      </c>
      <c r="J553" s="40">
        <v>14710507500</v>
      </c>
      <c r="K553" s="46"/>
      <c r="L553" s="46">
        <v>0.99</v>
      </c>
      <c r="M553" s="46">
        <v>-5.54</v>
      </c>
      <c r="N553" s="36">
        <v>549</v>
      </c>
      <c r="O553" s="41">
        <v>42998.040983796294</v>
      </c>
    </row>
    <row r="554" spans="2:15" x14ac:dyDescent="0.25">
      <c r="B554" s="36" t="s">
        <v>2507</v>
      </c>
      <c r="C554" s="35" t="s">
        <v>548</v>
      </c>
      <c r="D554" s="36" t="s">
        <v>1602</v>
      </c>
      <c r="E554" s="37">
        <v>3.5379999999999997E-5</v>
      </c>
      <c r="F554" s="38">
        <v>0.14050599999999999</v>
      </c>
      <c r="G554" s="39">
        <v>60.714100000000002</v>
      </c>
      <c r="H554" s="39">
        <v>426571</v>
      </c>
      <c r="I554" s="40">
        <v>3035964</v>
      </c>
      <c r="J554" s="40">
        <v>3035964</v>
      </c>
      <c r="K554" s="46">
        <v>-0.18</v>
      </c>
      <c r="L554" s="46">
        <v>6.33</v>
      </c>
      <c r="M554" s="46">
        <v>-5.51</v>
      </c>
      <c r="N554" s="36">
        <v>550</v>
      </c>
      <c r="O554" s="41">
        <v>42998.867407407408</v>
      </c>
    </row>
    <row r="555" spans="2:15" x14ac:dyDescent="0.25">
      <c r="B555" s="36" t="s">
        <v>3102</v>
      </c>
      <c r="C555" s="35" t="s">
        <v>1004</v>
      </c>
      <c r="D555" s="36" t="s">
        <v>2031</v>
      </c>
      <c r="E555" s="37">
        <v>6.0949999999999998E-5</v>
      </c>
      <c r="F555" s="38">
        <v>0.242059</v>
      </c>
      <c r="G555" s="39">
        <v>266.755</v>
      </c>
      <c r="H555" s="39">
        <v>426403</v>
      </c>
      <c r="I555" s="40">
        <v>1761567</v>
      </c>
      <c r="J555" s="40">
        <v>16987193</v>
      </c>
      <c r="K555" s="46">
        <v>-0.05</v>
      </c>
      <c r="L555" s="46">
        <v>-2.81</v>
      </c>
      <c r="M555" s="46">
        <v>3.57</v>
      </c>
      <c r="N555" s="36">
        <v>551</v>
      </c>
      <c r="O555" s="41">
        <v>42998.867905092593</v>
      </c>
    </row>
    <row r="556" spans="2:15" x14ac:dyDescent="0.25">
      <c r="B556" s="36" t="s">
        <v>2669</v>
      </c>
      <c r="C556" s="35" t="s">
        <v>560</v>
      </c>
      <c r="D556" s="36" t="s">
        <v>1614</v>
      </c>
      <c r="E556" s="37">
        <v>6.0673400000000001E-3</v>
      </c>
      <c r="F556" s="38">
        <v>22.7165</v>
      </c>
      <c r="G556" s="39"/>
      <c r="H556" s="39">
        <v>408897</v>
      </c>
      <c r="I556" s="40">
        <v>18000</v>
      </c>
      <c r="J556" s="40">
        <v>100000</v>
      </c>
      <c r="K556" s="46"/>
      <c r="L556" s="46"/>
      <c r="M556" s="46"/>
      <c r="N556" s="36">
        <v>552</v>
      </c>
      <c r="O556" s="41">
        <v>42995.805289351854</v>
      </c>
    </row>
    <row r="557" spans="2:15" x14ac:dyDescent="0.25">
      <c r="B557" s="36" t="s">
        <v>2532</v>
      </c>
      <c r="C557" s="35" t="s">
        <v>554</v>
      </c>
      <c r="D557" s="36" t="s">
        <v>1609</v>
      </c>
      <c r="E557" s="37">
        <v>2.9999999999999997E-8</v>
      </c>
      <c r="F557" s="38">
        <v>1.1914299999999999E-4</v>
      </c>
      <c r="G557" s="39">
        <v>127.18300000000001</v>
      </c>
      <c r="H557" s="39">
        <v>407100</v>
      </c>
      <c r="I557" s="40">
        <v>3416901262</v>
      </c>
      <c r="J557" s="40">
        <v>3416901262</v>
      </c>
      <c r="K557" s="46">
        <v>-0.05</v>
      </c>
      <c r="L557" s="46">
        <v>1.51</v>
      </c>
      <c r="M557" s="46">
        <v>31.59</v>
      </c>
      <c r="N557" s="36">
        <v>553</v>
      </c>
      <c r="O557" s="41">
        <v>42998.8674537037</v>
      </c>
    </row>
    <row r="558" spans="2:15" x14ac:dyDescent="0.25">
      <c r="B558" s="36" t="s">
        <v>2680</v>
      </c>
      <c r="C558" s="35" t="s">
        <v>572</v>
      </c>
      <c r="D558" s="36" t="s">
        <v>1625</v>
      </c>
      <c r="E558" s="37">
        <v>4.6600000000000003E-6</v>
      </c>
      <c r="F558" s="38">
        <v>1.8520999999999999E-2</v>
      </c>
      <c r="G558" s="39">
        <v>122.91500000000001</v>
      </c>
      <c r="H558" s="39">
        <v>393906</v>
      </c>
      <c r="I558" s="40">
        <v>21268092</v>
      </c>
      <c r="J558" s="40">
        <v>21268092</v>
      </c>
      <c r="K558" s="46">
        <v>-19.22</v>
      </c>
      <c r="L558" s="46">
        <v>-21.32</v>
      </c>
      <c r="M558" s="46">
        <v>50.33</v>
      </c>
      <c r="N558" s="36">
        <v>554</v>
      </c>
      <c r="O558" s="41">
        <v>42998.867511574077</v>
      </c>
    </row>
    <row r="559" spans="2:15" x14ac:dyDescent="0.25">
      <c r="B559" s="36" t="s">
        <v>2959</v>
      </c>
      <c r="C559" s="35" t="s">
        <v>855</v>
      </c>
      <c r="D559" s="36" t="s">
        <v>1893</v>
      </c>
      <c r="E559" s="37">
        <v>4.8738999999999998E-4</v>
      </c>
      <c r="F559" s="38">
        <v>1.9542999999999999</v>
      </c>
      <c r="G559" s="39"/>
      <c r="H559" s="39">
        <v>384540</v>
      </c>
      <c r="I559" s="40">
        <v>196766</v>
      </c>
      <c r="J559" s="40">
        <v>170196766</v>
      </c>
      <c r="K559" s="46"/>
      <c r="L559" s="46">
        <v>2.4900000000000002</v>
      </c>
      <c r="M559" s="46">
        <v>2.52</v>
      </c>
      <c r="N559" s="36">
        <v>555</v>
      </c>
      <c r="O559" s="41">
        <v>42998.593668981484</v>
      </c>
    </row>
    <row r="560" spans="2:15" x14ac:dyDescent="0.25">
      <c r="B560" s="36" t="s">
        <v>2537</v>
      </c>
      <c r="C560" s="35" t="s">
        <v>434</v>
      </c>
      <c r="D560" s="36" t="s">
        <v>1490</v>
      </c>
      <c r="E560" s="37">
        <v>8.9299999999999992E-6</v>
      </c>
      <c r="F560" s="38">
        <v>3.5479900000000002E-2</v>
      </c>
      <c r="G560" s="39">
        <v>123.819</v>
      </c>
      <c r="H560" s="39">
        <v>369532</v>
      </c>
      <c r="I560" s="40">
        <v>10415252</v>
      </c>
      <c r="J560" s="40">
        <v>10415252</v>
      </c>
      <c r="K560" s="46">
        <v>-7.03</v>
      </c>
      <c r="L560" s="46">
        <v>-5.53</v>
      </c>
      <c r="M560" s="46">
        <v>-2.0499999999999998</v>
      </c>
      <c r="N560" s="36">
        <v>556</v>
      </c>
      <c r="O560" s="41">
        <v>42998.867662037039</v>
      </c>
    </row>
    <row r="561" spans="2:15" x14ac:dyDescent="0.25">
      <c r="B561" s="36" t="s">
        <v>2683</v>
      </c>
      <c r="C561" s="35" t="s">
        <v>569</v>
      </c>
      <c r="D561" s="36" t="s">
        <v>1622</v>
      </c>
      <c r="E561" s="37">
        <v>2.1100000000000001E-6</v>
      </c>
      <c r="F561" s="38">
        <v>8.3788200000000004E-3</v>
      </c>
      <c r="G561" s="39">
        <v>44.558</v>
      </c>
      <c r="H561" s="39">
        <v>369286</v>
      </c>
      <c r="I561" s="40">
        <v>44073787</v>
      </c>
      <c r="J561" s="40">
        <v>44073787</v>
      </c>
      <c r="K561" s="46">
        <v>-0.05</v>
      </c>
      <c r="L561" s="46">
        <v>14.06</v>
      </c>
      <c r="M561" s="46">
        <v>-23.19</v>
      </c>
      <c r="N561" s="36">
        <v>557</v>
      </c>
      <c r="O561" s="41">
        <v>42998.8675</v>
      </c>
    </row>
    <row r="562" spans="2:15" x14ac:dyDescent="0.25">
      <c r="B562" s="36" t="s">
        <v>2582</v>
      </c>
      <c r="C562" s="35" t="s">
        <v>3221</v>
      </c>
      <c r="D562" s="36" t="s">
        <v>1499</v>
      </c>
      <c r="E562" s="37">
        <v>4.3359999999999998E-5</v>
      </c>
      <c r="F562" s="38">
        <v>0.17221700000000001</v>
      </c>
      <c r="G562" s="39">
        <v>0.86108499999999999</v>
      </c>
      <c r="H562" s="39">
        <v>362277</v>
      </c>
      <c r="I562" s="40">
        <v>2103609</v>
      </c>
      <c r="J562" s="40">
        <v>80000000</v>
      </c>
      <c r="K562" s="46">
        <v>-0.12</v>
      </c>
      <c r="L562" s="46">
        <v>1.86</v>
      </c>
      <c r="M562" s="46"/>
      <c r="N562" s="36">
        <v>558</v>
      </c>
      <c r="O562" s="41">
        <v>42998.867997685185</v>
      </c>
    </row>
    <row r="563" spans="2:15" x14ac:dyDescent="0.25">
      <c r="B563" s="36" t="s">
        <v>2540</v>
      </c>
      <c r="C563" s="35" t="s">
        <v>571</v>
      </c>
      <c r="D563" s="36" t="s">
        <v>1624</v>
      </c>
      <c r="E563" s="37">
        <v>1.3040000000000001E-5</v>
      </c>
      <c r="F563" s="38">
        <v>5.17349E-2</v>
      </c>
      <c r="G563" s="39">
        <v>80.139499999999998</v>
      </c>
      <c r="H563" s="39">
        <v>362144</v>
      </c>
      <c r="I563" s="40">
        <v>7000000</v>
      </c>
      <c r="J563" s="40">
        <v>10000000</v>
      </c>
      <c r="K563" s="46">
        <v>-0.96</v>
      </c>
      <c r="L563" s="46">
        <v>4.5999999999999996</v>
      </c>
      <c r="M563" s="46">
        <v>-14.86</v>
      </c>
      <c r="N563" s="36">
        <v>559</v>
      </c>
      <c r="O563" s="41">
        <v>42998.864502314813</v>
      </c>
    </row>
    <row r="564" spans="2:15" x14ac:dyDescent="0.25">
      <c r="B564" s="36" t="s">
        <v>2681</v>
      </c>
      <c r="C564" s="35" t="s">
        <v>578</v>
      </c>
      <c r="D564" s="36" t="s">
        <v>1630</v>
      </c>
      <c r="E564" s="37">
        <v>1.6E-7</v>
      </c>
      <c r="F564" s="38">
        <v>6.3876000000000004E-4</v>
      </c>
      <c r="G564" s="39"/>
      <c r="H564" s="39">
        <v>360985</v>
      </c>
      <c r="I564" s="40">
        <v>565134332</v>
      </c>
      <c r="J564" s="40">
        <v>565134332</v>
      </c>
      <c r="K564" s="46"/>
      <c r="L564" s="46"/>
      <c r="M564" s="46">
        <v>26.08</v>
      </c>
      <c r="N564" s="36">
        <v>560</v>
      </c>
      <c r="O564" s="41">
        <v>42997.492662037039</v>
      </c>
    </row>
    <row r="565" spans="2:15" x14ac:dyDescent="0.25">
      <c r="B565" s="36" t="s">
        <v>2671</v>
      </c>
      <c r="C565" s="35" t="s">
        <v>565</v>
      </c>
      <c r="D565" s="36" t="s">
        <v>1618</v>
      </c>
      <c r="E565" s="37">
        <v>1.6E-7</v>
      </c>
      <c r="F565" s="38">
        <v>6.3699500000000001E-4</v>
      </c>
      <c r="G565" s="39">
        <v>218.46100000000001</v>
      </c>
      <c r="H565" s="39">
        <v>357579</v>
      </c>
      <c r="I565" s="40">
        <v>561352723</v>
      </c>
      <c r="J565" s="40">
        <v>561352723</v>
      </c>
      <c r="K565" s="46">
        <v>-15.62</v>
      </c>
      <c r="L565" s="46">
        <v>3.11</v>
      </c>
      <c r="M565" s="46">
        <v>12.89</v>
      </c>
      <c r="N565" s="36">
        <v>561</v>
      </c>
      <c r="O565" s="41">
        <v>42998.867534722223</v>
      </c>
    </row>
    <row r="566" spans="2:15" x14ac:dyDescent="0.25">
      <c r="B566" s="36" t="s">
        <v>2679</v>
      </c>
      <c r="C566" s="35" t="s">
        <v>573</v>
      </c>
      <c r="D566" s="36" t="s">
        <v>1626</v>
      </c>
      <c r="E566" s="37">
        <v>1.99E-6</v>
      </c>
      <c r="F566" s="38">
        <v>7.9031399999999995E-3</v>
      </c>
      <c r="G566" s="39">
        <v>203.33600000000001</v>
      </c>
      <c r="H566" s="39">
        <v>347936</v>
      </c>
      <c r="I566" s="40">
        <v>44024999</v>
      </c>
      <c r="J566" s="40">
        <v>44024999</v>
      </c>
      <c r="K566" s="46">
        <v>-3.67</v>
      </c>
      <c r="L566" s="46">
        <v>1</v>
      </c>
      <c r="M566" s="46">
        <v>1.85</v>
      </c>
      <c r="N566" s="36">
        <v>562</v>
      </c>
      <c r="O566" s="41">
        <v>42998.867430555554</v>
      </c>
    </row>
    <row r="567" spans="2:15" x14ac:dyDescent="0.25">
      <c r="B567" s="36" t="s">
        <v>2664</v>
      </c>
      <c r="C567" s="35" t="s">
        <v>566</v>
      </c>
      <c r="D567" s="36" t="s">
        <v>1619</v>
      </c>
      <c r="E567" s="37">
        <v>3.49E-6</v>
      </c>
      <c r="F567" s="38">
        <v>1.3849E-2</v>
      </c>
      <c r="G567" s="39">
        <v>29.668500000000002</v>
      </c>
      <c r="H567" s="39">
        <v>342074</v>
      </c>
      <c r="I567" s="40">
        <v>24700248</v>
      </c>
      <c r="J567" s="40">
        <v>24700248</v>
      </c>
      <c r="K567" s="46">
        <v>-0.05</v>
      </c>
      <c r="L567" s="46">
        <v>0.05</v>
      </c>
      <c r="M567" s="46">
        <v>-14.59</v>
      </c>
      <c r="N567" s="36">
        <v>563</v>
      </c>
      <c r="O567" s="41">
        <v>42998.867546296293</v>
      </c>
    </row>
    <row r="568" spans="2:15" x14ac:dyDescent="0.25">
      <c r="B568" s="36" t="s">
        <v>2500</v>
      </c>
      <c r="C568" s="35" t="s">
        <v>567</v>
      </c>
      <c r="D568" s="36" t="s">
        <v>1620</v>
      </c>
      <c r="E568" s="37">
        <v>4.87E-6</v>
      </c>
      <c r="F568" s="38">
        <v>1.9337199999999999E-2</v>
      </c>
      <c r="G568" s="39">
        <v>106.934</v>
      </c>
      <c r="H568" s="39">
        <v>339094</v>
      </c>
      <c r="I568" s="40">
        <v>17535817</v>
      </c>
      <c r="J568" s="40">
        <v>17535817</v>
      </c>
      <c r="K568" s="46">
        <v>10.14</v>
      </c>
      <c r="L568" s="46">
        <v>20.98</v>
      </c>
      <c r="M568" s="46">
        <v>-12.63</v>
      </c>
      <c r="N568" s="36">
        <v>564</v>
      </c>
      <c r="O568" s="41">
        <v>42998.86791666667</v>
      </c>
    </row>
    <row r="569" spans="2:15" x14ac:dyDescent="0.25">
      <c r="B569" s="36" t="s">
        <v>2689</v>
      </c>
      <c r="C569" s="35" t="s">
        <v>586</v>
      </c>
      <c r="D569" s="36" t="s">
        <v>1637</v>
      </c>
      <c r="E569" s="37">
        <v>8.4E-7</v>
      </c>
      <c r="F569" s="38">
        <v>3.336E-3</v>
      </c>
      <c r="G569" s="39">
        <v>10.2187</v>
      </c>
      <c r="H569" s="39">
        <v>338784</v>
      </c>
      <c r="I569" s="40">
        <v>101553845</v>
      </c>
      <c r="J569" s="40">
        <v>101553845</v>
      </c>
      <c r="K569" s="46">
        <v>-0.05</v>
      </c>
      <c r="L569" s="46"/>
      <c r="M569" s="46">
        <v>-10.28</v>
      </c>
      <c r="N569" s="36">
        <v>565</v>
      </c>
      <c r="O569" s="41">
        <v>42998.867534722223</v>
      </c>
    </row>
    <row r="570" spans="2:15" x14ac:dyDescent="0.25">
      <c r="B570" s="36" t="s">
        <v>2716</v>
      </c>
      <c r="C570" s="35" t="s">
        <v>603</v>
      </c>
      <c r="D570" s="36" t="s">
        <v>1653</v>
      </c>
      <c r="E570" s="37">
        <v>2.0000000000000001E-9</v>
      </c>
      <c r="F570" s="38">
        <v>7.4109999999999999E-6</v>
      </c>
      <c r="G570" s="39">
        <v>347.56900000000002</v>
      </c>
      <c r="H570" s="39">
        <v>338157</v>
      </c>
      <c r="I570" s="40">
        <v>45628870000</v>
      </c>
      <c r="J570" s="40">
        <v>45628870000</v>
      </c>
      <c r="K570" s="46">
        <v>-0.34</v>
      </c>
      <c r="L570" s="46">
        <v>-3.35</v>
      </c>
      <c r="M570" s="46">
        <v>-14.93</v>
      </c>
      <c r="N570" s="36">
        <v>566</v>
      </c>
      <c r="O570" s="41">
        <v>42998.867592592593</v>
      </c>
    </row>
    <row r="571" spans="2:15" x14ac:dyDescent="0.25">
      <c r="B571" s="36" t="s">
        <v>2686</v>
      </c>
      <c r="C571" s="35" t="s">
        <v>581</v>
      </c>
      <c r="D571" s="36" t="s">
        <v>1632</v>
      </c>
      <c r="E571" s="37">
        <v>3.2799999999999999E-6</v>
      </c>
      <c r="F571" s="38">
        <v>1.3042099999999999E-2</v>
      </c>
      <c r="G571" s="39">
        <v>312.85899999999998</v>
      </c>
      <c r="H571" s="39">
        <v>304162</v>
      </c>
      <c r="I571" s="40">
        <v>23321526</v>
      </c>
      <c r="J571" s="40">
        <v>23321526</v>
      </c>
      <c r="K571" s="46">
        <v>-3.02</v>
      </c>
      <c r="L571" s="46">
        <v>26.68</v>
      </c>
      <c r="M571" s="46">
        <v>39.47</v>
      </c>
      <c r="N571" s="36">
        <v>567</v>
      </c>
      <c r="O571" s="41">
        <v>42998.867430555554</v>
      </c>
    </row>
    <row r="572" spans="2:15" x14ac:dyDescent="0.25">
      <c r="B572" s="36" t="s">
        <v>2560</v>
      </c>
      <c r="C572" s="35" t="s">
        <v>440</v>
      </c>
      <c r="D572" s="36" t="s">
        <v>1495</v>
      </c>
      <c r="E572" s="37">
        <v>1.3651000000000001E-4</v>
      </c>
      <c r="F572" s="38">
        <v>0.54213999999999996</v>
      </c>
      <c r="G572" s="39">
        <v>191.494</v>
      </c>
      <c r="H572" s="39">
        <v>300809</v>
      </c>
      <c r="I572" s="40">
        <v>554855</v>
      </c>
      <c r="J572" s="40">
        <v>554855</v>
      </c>
      <c r="K572" s="46">
        <v>-0.05</v>
      </c>
      <c r="L572" s="46">
        <v>0.92</v>
      </c>
      <c r="M572" s="46">
        <v>2.58</v>
      </c>
      <c r="N572" s="36">
        <v>568</v>
      </c>
      <c r="O572" s="41">
        <v>42998.867743055554</v>
      </c>
    </row>
    <row r="573" spans="2:15" x14ac:dyDescent="0.25">
      <c r="B573" s="36" t="s">
        <v>2678</v>
      </c>
      <c r="C573" s="35" t="s">
        <v>574</v>
      </c>
      <c r="D573" s="36" t="s">
        <v>1627</v>
      </c>
      <c r="E573" s="37">
        <v>1.7E-6</v>
      </c>
      <c r="F573" s="38">
        <v>6.68879E-3</v>
      </c>
      <c r="G573" s="39"/>
      <c r="H573" s="39">
        <v>292297</v>
      </c>
      <c r="I573" s="40">
        <v>43699481</v>
      </c>
      <c r="J573" s="40">
        <v>43699481</v>
      </c>
      <c r="K573" s="46"/>
      <c r="L573" s="46">
        <v>0.56000000000000005</v>
      </c>
      <c r="M573" s="46">
        <v>0.98</v>
      </c>
      <c r="N573" s="36">
        <v>569</v>
      </c>
      <c r="O573" s="41">
        <v>42998.41265046296</v>
      </c>
    </row>
    <row r="574" spans="2:15" x14ac:dyDescent="0.25">
      <c r="B574" s="36" t="s">
        <v>2670</v>
      </c>
      <c r="C574" s="35" t="s">
        <v>553</v>
      </c>
      <c r="D574" s="36" t="s">
        <v>1608</v>
      </c>
      <c r="E574" s="37">
        <v>1.1200000000000001E-6</v>
      </c>
      <c r="F574" s="38">
        <v>4.4479999999999997E-3</v>
      </c>
      <c r="G574" s="39">
        <v>299.28699999999998</v>
      </c>
      <c r="H574" s="39">
        <v>290413</v>
      </c>
      <c r="I574" s="40">
        <v>65290635</v>
      </c>
      <c r="J574" s="40">
        <v>65290635</v>
      </c>
      <c r="K574" s="46">
        <v>-0.05</v>
      </c>
      <c r="L574" s="46">
        <v>-13.47</v>
      </c>
      <c r="M574" s="46">
        <v>-14.09</v>
      </c>
      <c r="N574" s="36">
        <v>570</v>
      </c>
      <c r="O574" s="41">
        <v>42998.867488425924</v>
      </c>
    </row>
    <row r="575" spans="2:15" x14ac:dyDescent="0.25">
      <c r="B575" s="36" t="s">
        <v>2542</v>
      </c>
      <c r="C575" s="35" t="s">
        <v>443</v>
      </c>
      <c r="D575" s="36" t="s">
        <v>1498</v>
      </c>
      <c r="E575" s="37">
        <v>3.4100000000000002E-5</v>
      </c>
      <c r="F575" s="38">
        <v>0.136714</v>
      </c>
      <c r="G575" s="39"/>
      <c r="H575" s="39">
        <v>288510</v>
      </c>
      <c r="I575" s="40">
        <v>2110317</v>
      </c>
      <c r="J575" s="40">
        <v>2110317</v>
      </c>
      <c r="K575" s="46"/>
      <c r="L575" s="46">
        <v>2.48</v>
      </c>
      <c r="M575" s="46">
        <v>4.76</v>
      </c>
      <c r="N575" s="36">
        <v>571</v>
      </c>
      <c r="O575" s="41">
        <v>42998.593078703707</v>
      </c>
    </row>
    <row r="576" spans="2:15" x14ac:dyDescent="0.25">
      <c r="B576" s="36" t="s">
        <v>3103</v>
      </c>
      <c r="C576" s="35" t="s">
        <v>893</v>
      </c>
      <c r="D576" s="36" t="s">
        <v>1929</v>
      </c>
      <c r="E576" s="37">
        <v>5.93E-6</v>
      </c>
      <c r="F576" s="38">
        <v>2.1299200000000001E-2</v>
      </c>
      <c r="G576" s="39"/>
      <c r="H576" s="39">
        <v>284983</v>
      </c>
      <c r="I576" s="40">
        <v>13379987</v>
      </c>
      <c r="J576" s="40">
        <v>13379987</v>
      </c>
      <c r="K576" s="46"/>
      <c r="L576" s="46"/>
      <c r="M576" s="46">
        <v>367.65</v>
      </c>
      <c r="N576" s="36">
        <v>572</v>
      </c>
      <c r="O576" s="41">
        <v>42995.261307870373</v>
      </c>
    </row>
    <row r="577" spans="2:15" x14ac:dyDescent="0.25">
      <c r="B577" s="36" t="s">
        <v>2672</v>
      </c>
      <c r="C577" s="35" t="s">
        <v>575</v>
      </c>
      <c r="D577" s="36" t="s">
        <v>1628</v>
      </c>
      <c r="E577" s="37">
        <v>8.5900000000000008E-6</v>
      </c>
      <c r="F577" s="38">
        <v>3.4109100000000003E-2</v>
      </c>
      <c r="G577" s="39">
        <v>8.0339799999999997</v>
      </c>
      <c r="H577" s="39">
        <v>280256</v>
      </c>
      <c r="I577" s="40">
        <v>8216446</v>
      </c>
      <c r="J577" s="40">
        <v>8216446</v>
      </c>
      <c r="K577" s="46">
        <v>26.05</v>
      </c>
      <c r="L577" s="46">
        <v>-4.3600000000000003</v>
      </c>
      <c r="M577" s="46">
        <v>-8.25</v>
      </c>
      <c r="N577" s="36">
        <v>573</v>
      </c>
      <c r="O577" s="41">
        <v>42998.867638888885</v>
      </c>
    </row>
    <row r="578" spans="2:15" x14ac:dyDescent="0.25">
      <c r="B578" s="36" t="s">
        <v>2722</v>
      </c>
      <c r="C578" s="35" t="s">
        <v>615</v>
      </c>
      <c r="D578" s="36" t="s">
        <v>1666</v>
      </c>
      <c r="E578" s="37">
        <v>2.6979999999999999E-5</v>
      </c>
      <c r="F578" s="38">
        <v>0.10713200000000001</v>
      </c>
      <c r="G578" s="39">
        <v>206.477</v>
      </c>
      <c r="H578" s="39">
        <v>275888</v>
      </c>
      <c r="I578" s="40">
        <v>2575220</v>
      </c>
      <c r="J578" s="40">
        <v>2575220</v>
      </c>
      <c r="K578" s="46">
        <v>0.38</v>
      </c>
      <c r="L578" s="46">
        <v>-19.14</v>
      </c>
      <c r="M578" s="46">
        <v>126.65</v>
      </c>
      <c r="N578" s="36">
        <v>574</v>
      </c>
      <c r="O578" s="41">
        <v>42998.867627314816</v>
      </c>
    </row>
    <row r="579" spans="2:15" x14ac:dyDescent="0.25">
      <c r="B579" s="36" t="s">
        <v>2541</v>
      </c>
      <c r="C579" s="35" t="s">
        <v>429</v>
      </c>
      <c r="D579" s="36" t="s">
        <v>1485</v>
      </c>
      <c r="E579" s="37">
        <v>1.059E-5</v>
      </c>
      <c r="F579" s="38">
        <v>4.2057200000000003E-2</v>
      </c>
      <c r="G579" s="39">
        <v>337.90300000000002</v>
      </c>
      <c r="H579" s="39">
        <v>275266</v>
      </c>
      <c r="I579" s="40">
        <v>6545049</v>
      </c>
      <c r="J579" s="40">
        <v>6545049</v>
      </c>
      <c r="K579" s="46">
        <v>-0.13</v>
      </c>
      <c r="L579" s="46">
        <v>1.18</v>
      </c>
      <c r="M579" s="46">
        <v>-14.41</v>
      </c>
      <c r="N579" s="36">
        <v>575</v>
      </c>
      <c r="O579" s="41">
        <v>42998.867662037039</v>
      </c>
    </row>
    <row r="580" spans="2:15" x14ac:dyDescent="0.25">
      <c r="B580" s="36" t="s">
        <v>2527</v>
      </c>
      <c r="C580" s="35" t="s">
        <v>564</v>
      </c>
      <c r="D580" s="36" t="s">
        <v>564</v>
      </c>
      <c r="E580" s="37">
        <v>2.334E-5</v>
      </c>
      <c r="F580" s="42">
        <v>8.3779000000000006E-2</v>
      </c>
      <c r="G580" s="39"/>
      <c r="H580" s="39">
        <v>275235</v>
      </c>
      <c r="I580" s="40">
        <v>3285250</v>
      </c>
      <c r="J580" s="40">
        <v>3285250</v>
      </c>
      <c r="K580" s="46"/>
      <c r="L580" s="46"/>
      <c r="M580" s="46">
        <v>-31.99</v>
      </c>
      <c r="N580" s="36">
        <v>576</v>
      </c>
      <c r="O580" s="41">
        <v>42995.260335648149</v>
      </c>
    </row>
    <row r="581" spans="2:15" x14ac:dyDescent="0.25">
      <c r="B581" s="36" t="s">
        <v>2684</v>
      </c>
      <c r="C581" s="35" t="s">
        <v>580</v>
      </c>
      <c r="D581" s="36" t="s">
        <v>1631</v>
      </c>
      <c r="E581" s="37">
        <v>5.2800000000000003E-6</v>
      </c>
      <c r="F581" s="38">
        <v>2.0957099999999999E-2</v>
      </c>
      <c r="G581" s="39">
        <v>29.273199999999999</v>
      </c>
      <c r="H581" s="39">
        <v>273415</v>
      </c>
      <c r="I581" s="40">
        <v>13046431</v>
      </c>
      <c r="J581" s="40">
        <v>13046431</v>
      </c>
      <c r="K581" s="46">
        <v>-1.21</v>
      </c>
      <c r="L581" s="46">
        <v>70.430000000000007</v>
      </c>
      <c r="M581" s="46">
        <v>632.52</v>
      </c>
      <c r="N581" s="36">
        <v>577</v>
      </c>
      <c r="O581" s="41">
        <v>42998.867650462962</v>
      </c>
    </row>
    <row r="582" spans="2:15" x14ac:dyDescent="0.25">
      <c r="B582" s="36" t="s">
        <v>2545</v>
      </c>
      <c r="C582" s="35" t="s">
        <v>438</v>
      </c>
      <c r="D582" s="36" t="s">
        <v>1493</v>
      </c>
      <c r="E582" s="37">
        <v>1.6700000000000001E-6</v>
      </c>
      <c r="F582" s="38">
        <v>6.6190099999999998E-3</v>
      </c>
      <c r="G582" s="39">
        <v>365.36799999999999</v>
      </c>
      <c r="H582" s="39">
        <v>273299</v>
      </c>
      <c r="I582" s="40">
        <v>41290000</v>
      </c>
      <c r="J582" s="40">
        <v>41290000</v>
      </c>
      <c r="K582" s="46">
        <v>-7.99</v>
      </c>
      <c r="L582" s="46">
        <v>-11.8</v>
      </c>
      <c r="M582" s="46">
        <v>4.3</v>
      </c>
      <c r="N582" s="36">
        <v>578</v>
      </c>
      <c r="O582" s="41">
        <v>42998.867627314816</v>
      </c>
    </row>
    <row r="583" spans="2:15" x14ac:dyDescent="0.25">
      <c r="B583" s="36" t="s">
        <v>2516</v>
      </c>
      <c r="C583" s="35" t="s">
        <v>430</v>
      </c>
      <c r="D583" s="36" t="s">
        <v>1486</v>
      </c>
      <c r="E583" s="37">
        <v>1.4000000000000001E-7</v>
      </c>
      <c r="F583" s="38">
        <v>5.6020600000000005E-4</v>
      </c>
      <c r="G583" s="39">
        <v>53.370399999999997</v>
      </c>
      <c r="H583" s="39">
        <v>271749</v>
      </c>
      <c r="I583" s="40">
        <v>485087242</v>
      </c>
      <c r="J583" s="40">
        <v>485087242</v>
      </c>
      <c r="K583" s="46">
        <v>-0.72</v>
      </c>
      <c r="L583" s="46">
        <v>10.220000000000001</v>
      </c>
      <c r="M583" s="46">
        <v>1.47</v>
      </c>
      <c r="N583" s="36">
        <v>579</v>
      </c>
      <c r="O583" s="41">
        <v>42998.8675</v>
      </c>
    </row>
    <row r="584" spans="2:15" x14ac:dyDescent="0.25">
      <c r="B584" s="36" t="s">
        <v>2665</v>
      </c>
      <c r="C584" s="35" t="s">
        <v>558</v>
      </c>
      <c r="D584" s="36" t="s">
        <v>1613</v>
      </c>
      <c r="E584" s="37">
        <v>3.1E-6</v>
      </c>
      <c r="F584" s="38">
        <v>1.23114E-2</v>
      </c>
      <c r="G584" s="39">
        <v>131.26300000000001</v>
      </c>
      <c r="H584" s="39">
        <v>258315</v>
      </c>
      <c r="I584" s="40">
        <v>20981793</v>
      </c>
      <c r="J584" s="40">
        <v>20981793</v>
      </c>
      <c r="K584" s="46">
        <v>-0.05</v>
      </c>
      <c r="L584" s="46">
        <v>-86.72</v>
      </c>
      <c r="M584" s="46">
        <v>-15.75</v>
      </c>
      <c r="N584" s="36">
        <v>580</v>
      </c>
      <c r="O584" s="41">
        <v>42998.867847222224</v>
      </c>
    </row>
    <row r="585" spans="2:15" x14ac:dyDescent="0.25">
      <c r="B585" s="36" t="s">
        <v>2704</v>
      </c>
      <c r="C585" s="35" t="s">
        <v>585</v>
      </c>
      <c r="D585" s="36" t="s">
        <v>1636</v>
      </c>
      <c r="E585" s="37">
        <v>1.341E-5</v>
      </c>
      <c r="F585" s="38">
        <v>5.3264300000000001E-2</v>
      </c>
      <c r="G585" s="39">
        <v>26.9785</v>
      </c>
      <c r="H585" s="39">
        <v>250301</v>
      </c>
      <c r="I585" s="40">
        <v>4699221</v>
      </c>
      <c r="J585" s="40">
        <v>4699221</v>
      </c>
      <c r="K585" s="46">
        <v>-0.08</v>
      </c>
      <c r="L585" s="46">
        <v>4.26</v>
      </c>
      <c r="M585" s="46">
        <v>-40.78</v>
      </c>
      <c r="N585" s="36">
        <v>581</v>
      </c>
      <c r="O585" s="41">
        <v>42998.867488425924</v>
      </c>
    </row>
    <row r="586" spans="2:15" x14ac:dyDescent="0.25">
      <c r="B586" s="36" t="s">
        <v>2676</v>
      </c>
      <c r="C586" s="35" t="s">
        <v>579</v>
      </c>
      <c r="D586" s="36">
        <v>20</v>
      </c>
      <c r="E586" s="37">
        <v>4.0000000000000001E-10</v>
      </c>
      <c r="F586" s="38">
        <v>1.5856999999999999E-6</v>
      </c>
      <c r="G586" s="39">
        <v>36.921799999999998</v>
      </c>
      <c r="H586" s="39">
        <v>247884</v>
      </c>
      <c r="I586" s="40">
        <v>156322540248</v>
      </c>
      <c r="J586" s="40">
        <v>156322540248</v>
      </c>
      <c r="K586" s="46">
        <v>-0.28000000000000003</v>
      </c>
      <c r="L586" s="46">
        <v>8.06</v>
      </c>
      <c r="M586" s="46">
        <v>3.9</v>
      </c>
      <c r="N586" s="36">
        <v>582</v>
      </c>
      <c r="O586" s="41">
        <v>42998.867627314816</v>
      </c>
    </row>
    <row r="587" spans="2:15" x14ac:dyDescent="0.25">
      <c r="B587" s="36" t="s">
        <v>2551</v>
      </c>
      <c r="C587" s="35" t="s">
        <v>447</v>
      </c>
      <c r="D587" s="36" t="s">
        <v>1503</v>
      </c>
      <c r="E587" s="37">
        <v>2.1100000000000001E-6</v>
      </c>
      <c r="F587" s="38">
        <v>8.3848399999999993E-3</v>
      </c>
      <c r="G587" s="39">
        <v>497.755</v>
      </c>
      <c r="H587" s="39">
        <v>233043</v>
      </c>
      <c r="I587" s="40">
        <v>27793416</v>
      </c>
      <c r="J587" s="40">
        <v>27793416</v>
      </c>
      <c r="K587" s="46">
        <v>-5.31</v>
      </c>
      <c r="L587" s="46">
        <v>-4.53</v>
      </c>
      <c r="M587" s="46">
        <v>-12.79</v>
      </c>
      <c r="N587" s="36">
        <v>583</v>
      </c>
      <c r="O587" s="41">
        <v>42998.867442129631</v>
      </c>
    </row>
    <row r="588" spans="2:15" x14ac:dyDescent="0.25">
      <c r="B588" s="36" t="s">
        <v>2702</v>
      </c>
      <c r="C588" s="35" t="s">
        <v>599</v>
      </c>
      <c r="D588" s="36" t="s">
        <v>1649</v>
      </c>
      <c r="E588" s="37">
        <v>1.927E-5</v>
      </c>
      <c r="F588" s="38">
        <v>7.6536999999999994E-2</v>
      </c>
      <c r="G588" s="39">
        <v>33.864600000000003</v>
      </c>
      <c r="H588" s="39">
        <v>225541</v>
      </c>
      <c r="I588" s="40">
        <v>2946827</v>
      </c>
      <c r="J588" s="40">
        <v>2946827</v>
      </c>
      <c r="K588" s="46">
        <v>-0.34</v>
      </c>
      <c r="L588" s="46">
        <v>-11.2</v>
      </c>
      <c r="M588" s="46">
        <v>14.45</v>
      </c>
      <c r="N588" s="36">
        <v>584</v>
      </c>
      <c r="O588" s="41">
        <v>42998.867604166669</v>
      </c>
    </row>
    <row r="589" spans="2:15" x14ac:dyDescent="0.25">
      <c r="B589" s="36" t="s">
        <v>2687</v>
      </c>
      <c r="C589" s="35" t="s">
        <v>584</v>
      </c>
      <c r="D589" s="36" t="s">
        <v>1635</v>
      </c>
      <c r="E589" s="37">
        <v>2.4499999999999998E-6</v>
      </c>
      <c r="F589" s="38">
        <v>9.7204600000000002E-3</v>
      </c>
      <c r="G589" s="39">
        <v>74.084000000000003</v>
      </c>
      <c r="H589" s="39">
        <v>224346</v>
      </c>
      <c r="I589" s="40">
        <v>23079737</v>
      </c>
      <c r="J589" s="40">
        <v>23079737</v>
      </c>
      <c r="K589" s="46">
        <v>-13.7</v>
      </c>
      <c r="L589" s="46">
        <v>-10.59</v>
      </c>
      <c r="M589" s="46">
        <v>-14.24</v>
      </c>
      <c r="N589" s="36">
        <v>585</v>
      </c>
      <c r="O589" s="41">
        <v>42998.867465277777</v>
      </c>
    </row>
    <row r="590" spans="2:15" x14ac:dyDescent="0.25">
      <c r="B590" s="36" t="s">
        <v>2793</v>
      </c>
      <c r="C590" s="35" t="s">
        <v>779</v>
      </c>
      <c r="D590" s="36" t="s">
        <v>1820</v>
      </c>
      <c r="E590" s="37">
        <v>7.4999999999999993E-5</v>
      </c>
      <c r="F590" s="38">
        <v>0.30072900000000002</v>
      </c>
      <c r="G590" s="39"/>
      <c r="H590" s="39">
        <v>222622</v>
      </c>
      <c r="I590" s="40">
        <v>740275</v>
      </c>
      <c r="J590" s="40">
        <v>740275</v>
      </c>
      <c r="K590" s="46"/>
      <c r="L590" s="46">
        <v>2.48</v>
      </c>
      <c r="M590" s="46">
        <v>263.37</v>
      </c>
      <c r="N590" s="36">
        <v>586</v>
      </c>
      <c r="O590" s="41">
        <v>42998.593124999999</v>
      </c>
    </row>
    <row r="591" spans="2:15" x14ac:dyDescent="0.25">
      <c r="B591" s="36" t="s">
        <v>2548</v>
      </c>
      <c r="C591" s="35" t="s">
        <v>576</v>
      </c>
      <c r="D591" s="36" t="s">
        <v>1629</v>
      </c>
      <c r="E591" s="37">
        <v>1.1999999999999999E-7</v>
      </c>
      <c r="F591" s="38">
        <v>4.7881900000000001E-4</v>
      </c>
      <c r="G591" s="39">
        <v>31.014099999999999</v>
      </c>
      <c r="H591" s="39">
        <v>218983</v>
      </c>
      <c r="I591" s="40">
        <v>457339134</v>
      </c>
      <c r="J591" s="40">
        <v>457339134</v>
      </c>
      <c r="K591" s="46">
        <v>-8.9</v>
      </c>
      <c r="L591" s="46">
        <v>-17.02</v>
      </c>
      <c r="M591" s="46">
        <v>-20.86</v>
      </c>
      <c r="N591" s="36">
        <v>587</v>
      </c>
      <c r="O591" s="41">
        <v>42998.86791666667</v>
      </c>
    </row>
    <row r="592" spans="2:15" x14ac:dyDescent="0.25">
      <c r="B592" s="36" t="s">
        <v>2583</v>
      </c>
      <c r="C592" s="35" t="s">
        <v>475</v>
      </c>
      <c r="D592" s="36" t="s">
        <v>1529</v>
      </c>
      <c r="E592" s="37">
        <v>2.8100000000000002E-6</v>
      </c>
      <c r="F592" s="42">
        <v>1.1267299999999999E-2</v>
      </c>
      <c r="G592" s="39"/>
      <c r="H592" s="39">
        <v>215297</v>
      </c>
      <c r="I592" s="40">
        <v>19108117</v>
      </c>
      <c r="J592" s="40">
        <v>879108117</v>
      </c>
      <c r="K592" s="46"/>
      <c r="L592" s="46">
        <v>2.48</v>
      </c>
      <c r="M592" s="46">
        <v>26.21</v>
      </c>
      <c r="N592" s="36">
        <v>588</v>
      </c>
      <c r="O592" s="41">
        <v>42998.593495370369</v>
      </c>
    </row>
    <row r="593" spans="2:15" x14ac:dyDescent="0.25">
      <c r="B593" s="36" t="s">
        <v>2693</v>
      </c>
      <c r="C593" s="35" t="s">
        <v>582</v>
      </c>
      <c r="D593" s="36" t="s">
        <v>1633</v>
      </c>
      <c r="E593" s="37">
        <v>1.53E-6</v>
      </c>
      <c r="F593" s="38">
        <v>6.0759500000000001E-3</v>
      </c>
      <c r="G593" s="39">
        <v>8.0649099999999994</v>
      </c>
      <c r="H593" s="39">
        <v>205528</v>
      </c>
      <c r="I593" s="40">
        <v>33826472</v>
      </c>
      <c r="J593" s="40">
        <v>33826472</v>
      </c>
      <c r="K593" s="46">
        <v>-0.05</v>
      </c>
      <c r="L593" s="46">
        <v>-2.2400000000000002</v>
      </c>
      <c r="M593" s="46">
        <v>-7.89</v>
      </c>
      <c r="N593" s="36">
        <v>589</v>
      </c>
      <c r="O593" s="41">
        <v>42998.867430555554</v>
      </c>
    </row>
    <row r="594" spans="2:15" x14ac:dyDescent="0.25">
      <c r="B594" s="36" t="s">
        <v>2729</v>
      </c>
      <c r="C594" s="35" t="s">
        <v>620</v>
      </c>
      <c r="D594" s="36" t="s">
        <v>1101</v>
      </c>
      <c r="E594" s="37">
        <v>1.7799999999999999E-6</v>
      </c>
      <c r="F594" s="42">
        <v>7.0691399999999998E-3</v>
      </c>
      <c r="G594" s="39">
        <v>7.0190200000000003</v>
      </c>
      <c r="H594" s="39">
        <v>205045</v>
      </c>
      <c r="I594" s="40">
        <v>29005594</v>
      </c>
      <c r="J594" s="40">
        <v>29005594</v>
      </c>
      <c r="K594" s="46">
        <v>-0.05</v>
      </c>
      <c r="L594" s="46">
        <v>45.2</v>
      </c>
      <c r="M594" s="46">
        <v>10.68</v>
      </c>
      <c r="N594" s="36">
        <v>590</v>
      </c>
      <c r="O594" s="41">
        <v>42998.867442129631</v>
      </c>
    </row>
    <row r="595" spans="2:15" x14ac:dyDescent="0.25">
      <c r="B595" s="36" t="s">
        <v>2518</v>
      </c>
      <c r="C595" s="35" t="s">
        <v>371</v>
      </c>
      <c r="D595" s="36" t="s">
        <v>1432</v>
      </c>
      <c r="E595" s="37">
        <v>3E-10</v>
      </c>
      <c r="F595" s="38">
        <v>1.3762000000000001E-6</v>
      </c>
      <c r="G595" s="39">
        <v>203.47</v>
      </c>
      <c r="H595" s="39">
        <v>198475</v>
      </c>
      <c r="I595" s="40">
        <v>144219935000</v>
      </c>
      <c r="J595" s="40">
        <v>144219935000</v>
      </c>
      <c r="K595" s="46">
        <v>-2.95</v>
      </c>
      <c r="L595" s="46">
        <v>-11.09</v>
      </c>
      <c r="M595" s="46">
        <v>-33.54</v>
      </c>
      <c r="N595" s="36">
        <v>591</v>
      </c>
      <c r="O595" s="41">
        <v>42998.867546296293</v>
      </c>
    </row>
    <row r="596" spans="2:15" x14ac:dyDescent="0.25">
      <c r="B596" s="36" t="s">
        <v>2685</v>
      </c>
      <c r="C596" s="35" t="s">
        <v>559</v>
      </c>
      <c r="D596" s="36" t="s">
        <v>559</v>
      </c>
      <c r="E596" s="37">
        <v>2.0499999999999999E-6</v>
      </c>
      <c r="F596" s="38">
        <v>8.1822800000000001E-3</v>
      </c>
      <c r="G596" s="39"/>
      <c r="H596" s="39">
        <v>197204</v>
      </c>
      <c r="I596" s="40">
        <v>24101381</v>
      </c>
      <c r="J596" s="40">
        <v>24101381</v>
      </c>
      <c r="K596" s="46"/>
      <c r="L596" s="46">
        <v>-11.56</v>
      </c>
      <c r="M596" s="46">
        <v>-34.79</v>
      </c>
      <c r="N596" s="36">
        <v>592</v>
      </c>
      <c r="O596" s="41">
        <v>42998.815462962964</v>
      </c>
    </row>
    <row r="597" spans="2:15" x14ac:dyDescent="0.25">
      <c r="B597" s="36" t="s">
        <v>2535</v>
      </c>
      <c r="C597" s="35" t="s">
        <v>424</v>
      </c>
      <c r="D597" s="36" t="s">
        <v>1480</v>
      </c>
      <c r="E597" s="37">
        <v>8.0999999999999997E-7</v>
      </c>
      <c r="F597" s="38">
        <v>3.21573E-3</v>
      </c>
      <c r="G597" s="39">
        <v>54.310099999999998</v>
      </c>
      <c r="H597" s="39">
        <v>194778</v>
      </c>
      <c r="I597" s="40">
        <v>60570324</v>
      </c>
      <c r="J597" s="40">
        <v>60570324</v>
      </c>
      <c r="K597" s="46">
        <v>1.76</v>
      </c>
      <c r="L597" s="46">
        <v>-2.04</v>
      </c>
      <c r="M597" s="46">
        <v>-20.07</v>
      </c>
      <c r="N597" s="36">
        <v>593</v>
      </c>
      <c r="O597" s="41">
        <v>42998.867407407408</v>
      </c>
    </row>
    <row r="598" spans="2:15" x14ac:dyDescent="0.25">
      <c r="B598" s="36" t="s">
        <v>2744</v>
      </c>
      <c r="C598" s="35" t="s">
        <v>636</v>
      </c>
      <c r="D598" s="36" t="s">
        <v>1685</v>
      </c>
      <c r="E598" s="37">
        <v>2.0000000000000002E-5</v>
      </c>
      <c r="F598" s="38">
        <v>7.9428600000000002E-2</v>
      </c>
      <c r="G598" s="39">
        <v>16.017800000000001</v>
      </c>
      <c r="H598" s="39">
        <v>194473</v>
      </c>
      <c r="I598" s="40">
        <v>2448402</v>
      </c>
      <c r="J598" s="40">
        <v>2448402</v>
      </c>
      <c r="K598" s="46">
        <v>-0.05</v>
      </c>
      <c r="L598" s="46">
        <v>111.57</v>
      </c>
      <c r="M598" s="46">
        <v>130.43</v>
      </c>
      <c r="N598" s="36">
        <v>594</v>
      </c>
      <c r="O598" s="41">
        <v>42998.867673611108</v>
      </c>
    </row>
    <row r="599" spans="2:15" x14ac:dyDescent="0.25">
      <c r="B599" s="36" t="s">
        <v>2695</v>
      </c>
      <c r="C599" s="35" t="s">
        <v>589</v>
      </c>
      <c r="D599" s="36" t="s">
        <v>1639</v>
      </c>
      <c r="E599" s="37">
        <v>2.3117999999999999E-4</v>
      </c>
      <c r="F599" s="38">
        <v>0.91811500000000001</v>
      </c>
      <c r="G599" s="39">
        <v>10.8117</v>
      </c>
      <c r="H599" s="39">
        <v>193544</v>
      </c>
      <c r="I599" s="40">
        <v>210806</v>
      </c>
      <c r="J599" s="40">
        <v>210806</v>
      </c>
      <c r="K599" s="46">
        <v>-0.1</v>
      </c>
      <c r="L599" s="46">
        <v>0.89</v>
      </c>
      <c r="M599" s="46">
        <v>-12.22</v>
      </c>
      <c r="N599" s="36">
        <v>595</v>
      </c>
      <c r="O599" s="41">
        <v>42998.867662037039</v>
      </c>
    </row>
    <row r="600" spans="2:15" x14ac:dyDescent="0.25">
      <c r="B600" s="36" t="s">
        <v>2567</v>
      </c>
      <c r="C600" s="35" t="s">
        <v>453</v>
      </c>
      <c r="D600" s="36" t="s">
        <v>1508</v>
      </c>
      <c r="E600" s="37">
        <v>3.3999999999999997E-7</v>
      </c>
      <c r="F600" s="38">
        <v>1.34381E-3</v>
      </c>
      <c r="G600" s="39">
        <v>53.745100000000001</v>
      </c>
      <c r="H600" s="39">
        <v>191957</v>
      </c>
      <c r="I600" s="40">
        <v>142844983</v>
      </c>
      <c r="J600" s="40">
        <v>142844983</v>
      </c>
      <c r="K600" s="46">
        <v>-0.11</v>
      </c>
      <c r="L600" s="46">
        <v>1.39</v>
      </c>
      <c r="M600" s="46">
        <v>-0.73</v>
      </c>
      <c r="N600" s="36">
        <v>596</v>
      </c>
      <c r="O600" s="41">
        <v>42998.867511574077</v>
      </c>
    </row>
    <row r="601" spans="2:15" x14ac:dyDescent="0.25">
      <c r="B601" s="36" t="s">
        <v>2528</v>
      </c>
      <c r="C601" s="35" t="s">
        <v>593</v>
      </c>
      <c r="D601" s="36" t="s">
        <v>1643</v>
      </c>
      <c r="E601" s="37">
        <v>1.5804E-4</v>
      </c>
      <c r="F601" s="38">
        <v>0.62764500000000001</v>
      </c>
      <c r="G601" s="39">
        <v>30.165400000000002</v>
      </c>
      <c r="H601" s="39">
        <v>185918</v>
      </c>
      <c r="I601" s="40">
        <v>296216</v>
      </c>
      <c r="J601" s="40">
        <v>296216</v>
      </c>
      <c r="K601" s="46">
        <v>-0.12</v>
      </c>
      <c r="L601" s="46">
        <v>-19.91</v>
      </c>
      <c r="M601" s="46">
        <v>13.52</v>
      </c>
      <c r="N601" s="36">
        <v>597</v>
      </c>
      <c r="O601" s="41">
        <v>42998.86755787037</v>
      </c>
    </row>
    <row r="602" spans="2:15" x14ac:dyDescent="0.25">
      <c r="B602" s="36" t="s">
        <v>2697</v>
      </c>
      <c r="C602" s="35" t="s">
        <v>457</v>
      </c>
      <c r="D602" s="36" t="s">
        <v>1512</v>
      </c>
      <c r="E602" s="37">
        <v>1.4000000000000001E-7</v>
      </c>
      <c r="F602" s="38">
        <v>5.7205500000000002E-4</v>
      </c>
      <c r="G602" s="39">
        <v>469.846</v>
      </c>
      <c r="H602" s="39">
        <v>184324</v>
      </c>
      <c r="I602" s="40">
        <v>322214524</v>
      </c>
      <c r="J602" s="40">
        <v>322214524</v>
      </c>
      <c r="K602" s="46">
        <v>-0.2</v>
      </c>
      <c r="L602" s="46">
        <v>7.58</v>
      </c>
      <c r="M602" s="46">
        <v>-0.02</v>
      </c>
      <c r="N602" s="36">
        <v>598</v>
      </c>
      <c r="O602" s="41">
        <v>42998.867476851854</v>
      </c>
    </row>
    <row r="603" spans="2:15" x14ac:dyDescent="0.25">
      <c r="B603" s="36" t="s">
        <v>2688</v>
      </c>
      <c r="C603" s="35" t="s">
        <v>592</v>
      </c>
      <c r="D603" s="36" t="s">
        <v>1642</v>
      </c>
      <c r="E603" s="37">
        <v>3E-9</v>
      </c>
      <c r="F603" s="38">
        <v>1.2405700000000001E-5</v>
      </c>
      <c r="G603" s="39">
        <v>23.3523</v>
      </c>
      <c r="H603" s="39">
        <v>179771</v>
      </c>
      <c r="I603" s="40">
        <v>14491014421</v>
      </c>
      <c r="J603" s="40">
        <v>14491014421</v>
      </c>
      <c r="K603" s="46"/>
      <c r="L603" s="46">
        <v>-3.12</v>
      </c>
      <c r="M603" s="46">
        <v>-15.57</v>
      </c>
      <c r="N603" s="36">
        <v>599</v>
      </c>
      <c r="O603" s="41">
        <v>42998.867418981485</v>
      </c>
    </row>
    <row r="604" spans="2:15" x14ac:dyDescent="0.25">
      <c r="B604" s="36" t="s">
        <v>2787</v>
      </c>
      <c r="C604" s="35" t="s">
        <v>658</v>
      </c>
      <c r="D604" s="36" t="s">
        <v>1706</v>
      </c>
      <c r="E604" s="37">
        <v>4.4700000000000004E-6</v>
      </c>
      <c r="F604" s="38">
        <v>1.7923399999999999E-2</v>
      </c>
      <c r="G604" s="39"/>
      <c r="H604" s="39">
        <v>176518</v>
      </c>
      <c r="I604" s="40">
        <v>9848485</v>
      </c>
      <c r="J604" s="40">
        <v>9848485</v>
      </c>
      <c r="K604" s="46"/>
      <c r="L604" s="46">
        <v>2.48</v>
      </c>
      <c r="M604" s="46">
        <v>22.64</v>
      </c>
      <c r="N604" s="36">
        <v>600</v>
      </c>
      <c r="O604" s="41">
        <v>42998.593402777777</v>
      </c>
    </row>
    <row r="605" spans="2:15" x14ac:dyDescent="0.25">
      <c r="B605" s="36" t="s">
        <v>2565</v>
      </c>
      <c r="C605" s="35" t="s">
        <v>459</v>
      </c>
      <c r="D605" s="36" t="s">
        <v>1514</v>
      </c>
      <c r="E605" s="37">
        <v>0.94323699999999999</v>
      </c>
      <c r="F605" s="38">
        <v>3385.26</v>
      </c>
      <c r="G605" s="39"/>
      <c r="H605" s="39">
        <v>172885</v>
      </c>
      <c r="I605" s="40">
        <v>51</v>
      </c>
      <c r="J605" s="40">
        <v>51</v>
      </c>
      <c r="K605" s="46"/>
      <c r="L605" s="46"/>
      <c r="M605" s="46">
        <v>-13.58</v>
      </c>
      <c r="N605" s="36">
        <v>601</v>
      </c>
      <c r="O605" s="41">
        <v>42995.26</v>
      </c>
    </row>
    <row r="606" spans="2:15" x14ac:dyDescent="0.25">
      <c r="B606" s="36" t="s">
        <v>2690</v>
      </c>
      <c r="C606" s="35" t="s">
        <v>583</v>
      </c>
      <c r="D606" s="36" t="s">
        <v>1634</v>
      </c>
      <c r="E606" s="37">
        <v>2.8399999999999999E-6</v>
      </c>
      <c r="F606" s="42">
        <v>1.1387599999999999E-2</v>
      </c>
      <c r="G606" s="39"/>
      <c r="H606" s="39">
        <v>171628</v>
      </c>
      <c r="I606" s="40">
        <v>15071467</v>
      </c>
      <c r="J606" s="40">
        <v>15071467</v>
      </c>
      <c r="K606" s="46"/>
      <c r="L606" s="46">
        <v>2.48</v>
      </c>
      <c r="M606" s="46">
        <v>2.96</v>
      </c>
      <c r="N606" s="36">
        <v>602</v>
      </c>
      <c r="O606" s="41">
        <v>42998.593217592592</v>
      </c>
    </row>
    <row r="607" spans="2:15" x14ac:dyDescent="0.25">
      <c r="B607" s="36" t="s">
        <v>2691</v>
      </c>
      <c r="C607" s="35" t="s">
        <v>587</v>
      </c>
      <c r="D607" s="36" t="s">
        <v>1638</v>
      </c>
      <c r="E607" s="37">
        <v>3.6500000000000002E-6</v>
      </c>
      <c r="F607" s="38">
        <v>1.4508E-2</v>
      </c>
      <c r="G607" s="39">
        <v>114.577</v>
      </c>
      <c r="H607" s="39">
        <v>171193</v>
      </c>
      <c r="I607" s="40">
        <v>11799934</v>
      </c>
      <c r="J607" s="40">
        <v>11799934</v>
      </c>
      <c r="K607" s="46">
        <v>-0.12</v>
      </c>
      <c r="L607" s="46">
        <v>-15.05</v>
      </c>
      <c r="M607" s="46">
        <v>12.44</v>
      </c>
      <c r="N607" s="36">
        <v>603</v>
      </c>
      <c r="O607" s="41">
        <v>42998.867534722223</v>
      </c>
    </row>
    <row r="608" spans="2:15" x14ac:dyDescent="0.25">
      <c r="B608" s="36" t="s">
        <v>2701</v>
      </c>
      <c r="C608" s="35" t="s">
        <v>596</v>
      </c>
      <c r="D608" s="36" t="s">
        <v>1646</v>
      </c>
      <c r="E608" s="37">
        <v>2.3999999999999998E-7</v>
      </c>
      <c r="F608" s="38">
        <v>9.5314599999999998E-4</v>
      </c>
      <c r="G608" s="39">
        <v>171.61699999999999</v>
      </c>
      <c r="H608" s="39">
        <v>169013</v>
      </c>
      <c r="I608" s="40">
        <v>177321390</v>
      </c>
      <c r="J608" s="40">
        <v>177321390</v>
      </c>
      <c r="K608" s="46">
        <v>9.02</v>
      </c>
      <c r="L608" s="46">
        <v>13.63</v>
      </c>
      <c r="M608" s="46">
        <v>-3.52</v>
      </c>
      <c r="N608" s="36">
        <v>604</v>
      </c>
      <c r="O608" s="41">
        <v>42998.867407407408</v>
      </c>
    </row>
    <row r="609" spans="2:15" x14ac:dyDescent="0.25">
      <c r="B609" s="36" t="s">
        <v>2656</v>
      </c>
      <c r="C609" s="35" t="s">
        <v>542</v>
      </c>
      <c r="D609" s="36" t="s">
        <v>1596</v>
      </c>
      <c r="E609" s="37">
        <v>8.0017E-4</v>
      </c>
      <c r="F609" s="38">
        <v>3.1778200000000001</v>
      </c>
      <c r="G609" s="39">
        <v>4.5197599999999998</v>
      </c>
      <c r="H609" s="39">
        <v>164245</v>
      </c>
      <c r="I609" s="40">
        <v>51685</v>
      </c>
      <c r="J609" s="40">
        <v>1000000000</v>
      </c>
      <c r="K609" s="46"/>
      <c r="L609" s="46"/>
      <c r="M609" s="46"/>
      <c r="N609" s="36">
        <v>605</v>
      </c>
      <c r="O609" s="41">
        <v>42998.867905092593</v>
      </c>
    </row>
    <row r="610" spans="2:15" x14ac:dyDescent="0.25">
      <c r="B610" s="36" t="s">
        <v>2559</v>
      </c>
      <c r="C610" s="35" t="s">
        <v>455</v>
      </c>
      <c r="D610" s="36" t="s">
        <v>1510</v>
      </c>
      <c r="E610" s="37">
        <v>4.0000000000000001E-10</v>
      </c>
      <c r="F610" s="38">
        <v>1.5983E-6</v>
      </c>
      <c r="G610" s="39">
        <v>211.66200000000001</v>
      </c>
      <c r="H610" s="39">
        <v>163077</v>
      </c>
      <c r="I610" s="40">
        <v>102033231423</v>
      </c>
      <c r="J610" s="40">
        <v>102033231423</v>
      </c>
      <c r="K610" s="46">
        <v>3.34</v>
      </c>
      <c r="L610" s="46">
        <v>-75.78</v>
      </c>
      <c r="M610" s="46">
        <v>-72.78</v>
      </c>
      <c r="N610" s="36">
        <v>606</v>
      </c>
      <c r="O610" s="41">
        <v>42998.86755787037</v>
      </c>
    </row>
    <row r="611" spans="2:15" x14ac:dyDescent="0.25">
      <c r="B611" s="36" t="s">
        <v>2698</v>
      </c>
      <c r="C611" s="35" t="s">
        <v>598</v>
      </c>
      <c r="D611" s="36" t="s">
        <v>1648</v>
      </c>
      <c r="E611" s="37">
        <v>4.1899999999999997E-6</v>
      </c>
      <c r="F611" s="38">
        <v>1.66403E-2</v>
      </c>
      <c r="G611" s="39">
        <v>228.042</v>
      </c>
      <c r="H611" s="39">
        <v>157024</v>
      </c>
      <c r="I611" s="40">
        <v>9436367</v>
      </c>
      <c r="J611" s="40">
        <v>9586367</v>
      </c>
      <c r="K611" s="46">
        <v>-0.05</v>
      </c>
      <c r="L611" s="46">
        <v>16.670000000000002</v>
      </c>
      <c r="M611" s="46">
        <v>2.63</v>
      </c>
      <c r="N611" s="36">
        <v>607</v>
      </c>
      <c r="O611" s="41">
        <v>42998.867743055554</v>
      </c>
    </row>
    <row r="612" spans="2:15" x14ac:dyDescent="0.25">
      <c r="B612" s="36" t="s">
        <v>2707</v>
      </c>
      <c r="C612" s="35" t="s">
        <v>600</v>
      </c>
      <c r="D612" s="36" t="s">
        <v>1650</v>
      </c>
      <c r="E612" s="37">
        <v>3.4999999999999998E-7</v>
      </c>
      <c r="F612" s="38">
        <v>1.3947499999999999E-3</v>
      </c>
      <c r="G612" s="39">
        <v>133.04900000000001</v>
      </c>
      <c r="H612" s="39">
        <v>155144</v>
      </c>
      <c r="I612" s="40">
        <v>111234603</v>
      </c>
      <c r="J612" s="40">
        <v>111234603</v>
      </c>
      <c r="K612" s="46">
        <v>-0.27</v>
      </c>
      <c r="L612" s="46">
        <v>-3.04</v>
      </c>
      <c r="M612" s="46">
        <v>-4.6900000000000004</v>
      </c>
      <c r="N612" s="36">
        <v>608</v>
      </c>
      <c r="O612" s="41">
        <v>42998.867604166669</v>
      </c>
    </row>
    <row r="613" spans="2:15" x14ac:dyDescent="0.25">
      <c r="B613" s="36" t="s">
        <v>2574</v>
      </c>
      <c r="C613" s="35" t="s">
        <v>462</v>
      </c>
      <c r="D613" s="36" t="s">
        <v>1517</v>
      </c>
      <c r="E613" s="37">
        <v>1.008E-5</v>
      </c>
      <c r="F613" s="38">
        <v>4.0051200000000002E-2</v>
      </c>
      <c r="G613" s="39">
        <v>283.42700000000002</v>
      </c>
      <c r="H613" s="39">
        <v>154881</v>
      </c>
      <c r="I613" s="40">
        <v>3867080</v>
      </c>
      <c r="J613" s="40">
        <v>3867080</v>
      </c>
      <c r="K613" s="46">
        <v>1.52</v>
      </c>
      <c r="L613" s="46">
        <v>-4.3499999999999996</v>
      </c>
      <c r="M613" s="46">
        <v>-13.94</v>
      </c>
      <c r="N613" s="36">
        <v>609</v>
      </c>
      <c r="O613" s="41">
        <v>42998.867696759262</v>
      </c>
    </row>
    <row r="614" spans="2:15" x14ac:dyDescent="0.25">
      <c r="B614" s="36" t="s">
        <v>2709</v>
      </c>
      <c r="C614" s="35" t="s">
        <v>607</v>
      </c>
      <c r="D614" s="36" t="s">
        <v>1657</v>
      </c>
      <c r="E614" s="37">
        <v>1E-8</v>
      </c>
      <c r="F614" s="38">
        <v>3.97143E-5</v>
      </c>
      <c r="G614" s="39">
        <v>6.3574599999999997</v>
      </c>
      <c r="H614" s="39">
        <v>153319</v>
      </c>
      <c r="I614" s="40">
        <v>3860556365</v>
      </c>
      <c r="J614" s="40">
        <v>922341060556365</v>
      </c>
      <c r="K614" s="46">
        <v>-0.05</v>
      </c>
      <c r="L614" s="46"/>
      <c r="M614" s="46">
        <v>1.92</v>
      </c>
      <c r="N614" s="36">
        <v>610</v>
      </c>
      <c r="O614" s="41">
        <v>42998.867673611108</v>
      </c>
    </row>
    <row r="615" spans="2:15" x14ac:dyDescent="0.25">
      <c r="B615" s="36" t="s">
        <v>2700</v>
      </c>
      <c r="C615" s="35" t="s">
        <v>604</v>
      </c>
      <c r="D615" s="36" t="s">
        <v>1654</v>
      </c>
      <c r="E615" s="37">
        <v>7.0999999999999998E-7</v>
      </c>
      <c r="F615" s="42">
        <v>2.8156800000000001E-3</v>
      </c>
      <c r="G615" s="39">
        <v>61.361899999999999</v>
      </c>
      <c r="H615" s="39">
        <v>152139</v>
      </c>
      <c r="I615" s="40">
        <v>54032769</v>
      </c>
      <c r="J615" s="40">
        <v>54032769</v>
      </c>
      <c r="K615" s="46">
        <v>-1.38</v>
      </c>
      <c r="L615" s="46">
        <v>-0.13</v>
      </c>
      <c r="M615" s="46">
        <v>10.050000000000001</v>
      </c>
      <c r="N615" s="36">
        <v>611</v>
      </c>
      <c r="O615" s="41">
        <v>42998.867708333331</v>
      </c>
    </row>
    <row r="616" spans="2:15" x14ac:dyDescent="0.25">
      <c r="B616" s="36" t="s">
        <v>2703</v>
      </c>
      <c r="C616" s="35" t="s">
        <v>463</v>
      </c>
      <c r="D616" s="36" t="s">
        <v>1518</v>
      </c>
      <c r="E616" s="37">
        <v>2.9999999999999999E-7</v>
      </c>
      <c r="F616" s="38">
        <v>1.1945199999999999E-3</v>
      </c>
      <c r="G616" s="39">
        <v>5.6047000000000002</v>
      </c>
      <c r="H616" s="39">
        <v>149649</v>
      </c>
      <c r="I616" s="40">
        <v>125279775</v>
      </c>
      <c r="J616" s="40">
        <v>125279775</v>
      </c>
      <c r="K616" s="46">
        <v>-0.05</v>
      </c>
      <c r="L616" s="46">
        <v>7.67</v>
      </c>
      <c r="M616" s="46">
        <v>-12.98</v>
      </c>
      <c r="N616" s="36">
        <v>612</v>
      </c>
      <c r="O616" s="41">
        <v>42998.867824074077</v>
      </c>
    </row>
    <row r="617" spans="2:15" x14ac:dyDescent="0.25">
      <c r="B617" s="36" t="s">
        <v>2566</v>
      </c>
      <c r="C617" s="35" t="s">
        <v>606</v>
      </c>
      <c r="D617" s="36" t="s">
        <v>1656</v>
      </c>
      <c r="E617" s="37">
        <v>2.2199999999999999E-6</v>
      </c>
      <c r="F617" s="38">
        <v>8.8262800000000006E-3</v>
      </c>
      <c r="G617" s="39">
        <v>74.794899999999998</v>
      </c>
      <c r="H617" s="39">
        <v>144108</v>
      </c>
      <c r="I617" s="40">
        <v>16327175</v>
      </c>
      <c r="J617" s="40">
        <v>16327175</v>
      </c>
      <c r="K617" s="46">
        <v>-7.0000000000000007E-2</v>
      </c>
      <c r="L617" s="46">
        <v>-7.51</v>
      </c>
      <c r="M617" s="46">
        <v>17.420000000000002</v>
      </c>
      <c r="N617" s="36">
        <v>613</v>
      </c>
      <c r="O617" s="41">
        <v>42998.867465277777</v>
      </c>
    </row>
    <row r="618" spans="2:15" x14ac:dyDescent="0.25">
      <c r="B618" s="36" t="s">
        <v>2558</v>
      </c>
      <c r="C618" s="35" t="s">
        <v>431</v>
      </c>
      <c r="D618" s="36" t="s">
        <v>1487</v>
      </c>
      <c r="E618" s="37">
        <v>6.4999999999999994E-5</v>
      </c>
      <c r="F618" s="38">
        <v>0.25814300000000001</v>
      </c>
      <c r="G618" s="39">
        <v>253.458</v>
      </c>
      <c r="H618" s="39">
        <v>144044</v>
      </c>
      <c r="I618" s="40">
        <v>558000</v>
      </c>
      <c r="J618" s="40">
        <v>558000</v>
      </c>
      <c r="K618" s="46">
        <v>-0.05</v>
      </c>
      <c r="L618" s="46">
        <v>-26.14</v>
      </c>
      <c r="M618" s="46">
        <v>1.05</v>
      </c>
      <c r="N618" s="36">
        <v>614</v>
      </c>
      <c r="O618" s="41">
        <v>42998.867800925924</v>
      </c>
    </row>
    <row r="619" spans="2:15" x14ac:dyDescent="0.25">
      <c r="B619" s="36" t="s">
        <v>2604</v>
      </c>
      <c r="C619" s="35" t="s">
        <v>486</v>
      </c>
      <c r="D619" s="36" t="s">
        <v>1541</v>
      </c>
      <c r="E619" s="37">
        <v>9.0699999999999996E-5</v>
      </c>
      <c r="F619" s="38">
        <v>0.35994599999999999</v>
      </c>
      <c r="G619" s="39">
        <v>213.46199999999999</v>
      </c>
      <c r="H619" s="39">
        <v>143978</v>
      </c>
      <c r="I619" s="40">
        <v>400000</v>
      </c>
      <c r="J619" s="40">
        <v>1000000</v>
      </c>
      <c r="K619" s="46">
        <v>-0.25</v>
      </c>
      <c r="L619" s="46">
        <v>2.83</v>
      </c>
      <c r="M619" s="46">
        <v>-52.75</v>
      </c>
      <c r="N619" s="36">
        <v>615</v>
      </c>
      <c r="O619" s="41">
        <v>42998.864525462966</v>
      </c>
    </row>
    <row r="620" spans="2:15" x14ac:dyDescent="0.25">
      <c r="B620" s="36" t="s">
        <v>2719</v>
      </c>
      <c r="C620" s="35" t="s">
        <v>611</v>
      </c>
      <c r="D620" s="36" t="s">
        <v>1662</v>
      </c>
      <c r="E620" s="37">
        <v>3.5999999999999999E-7</v>
      </c>
      <c r="F620" s="38">
        <v>1.4297100000000001E-3</v>
      </c>
      <c r="G620" s="39">
        <v>14.707800000000001</v>
      </c>
      <c r="H620" s="39">
        <v>143029</v>
      </c>
      <c r="I620" s="40">
        <v>100040708</v>
      </c>
      <c r="J620" s="40">
        <v>100040708</v>
      </c>
      <c r="K620" s="46">
        <v>5.83</v>
      </c>
      <c r="L620" s="46"/>
      <c r="M620" s="46">
        <v>14.67</v>
      </c>
      <c r="N620" s="36">
        <v>616</v>
      </c>
      <c r="O620" s="41">
        <v>42998.867743055554</v>
      </c>
    </row>
    <row r="621" spans="2:15" x14ac:dyDescent="0.25">
      <c r="B621" s="36" t="s">
        <v>2577</v>
      </c>
      <c r="C621" s="35" t="s">
        <v>597</v>
      </c>
      <c r="D621" s="36" t="s">
        <v>1647</v>
      </c>
      <c r="E621" s="37">
        <v>1.06E-6</v>
      </c>
      <c r="F621" s="38">
        <v>4.2097200000000001E-3</v>
      </c>
      <c r="G621" s="39">
        <v>39.780200000000001</v>
      </c>
      <c r="H621" s="39">
        <v>140058</v>
      </c>
      <c r="I621" s="40">
        <v>33270044</v>
      </c>
      <c r="J621" s="40">
        <v>33270044</v>
      </c>
      <c r="K621" s="46">
        <v>-0.05</v>
      </c>
      <c r="L621" s="46">
        <v>1.5</v>
      </c>
      <c r="M621" s="46">
        <v>-0.88</v>
      </c>
      <c r="N621" s="36">
        <v>617</v>
      </c>
      <c r="O621" s="41">
        <v>42998.867766203701</v>
      </c>
    </row>
    <row r="622" spans="2:15" x14ac:dyDescent="0.25">
      <c r="B622" s="36" t="s">
        <v>2726</v>
      </c>
      <c r="C622" s="35" t="s">
        <v>616</v>
      </c>
      <c r="D622" s="36" t="s">
        <v>1667</v>
      </c>
      <c r="E622" s="37">
        <v>2.3499999999999999E-6</v>
      </c>
      <c r="F622" s="38">
        <v>9.43949E-3</v>
      </c>
      <c r="G622" s="39"/>
      <c r="H622" s="39">
        <v>138770</v>
      </c>
      <c r="I622" s="40">
        <v>14701000</v>
      </c>
      <c r="J622" s="40">
        <v>14701000</v>
      </c>
      <c r="K622" s="46"/>
      <c r="L622" s="46">
        <v>15.76</v>
      </c>
      <c r="M622" s="46">
        <v>14.91</v>
      </c>
      <c r="N622" s="36">
        <v>618</v>
      </c>
      <c r="O622" s="41">
        <v>42998.593611111108</v>
      </c>
    </row>
    <row r="623" spans="2:15" x14ac:dyDescent="0.25">
      <c r="B623" s="36" t="s">
        <v>2578</v>
      </c>
      <c r="C623" s="35" t="s">
        <v>467</v>
      </c>
      <c r="D623" s="36" t="s">
        <v>1521</v>
      </c>
      <c r="E623" s="37">
        <v>4.3788200000000003E-3</v>
      </c>
      <c r="F623" s="38">
        <v>15.7155</v>
      </c>
      <c r="G623" s="39"/>
      <c r="H623" s="39">
        <v>138613</v>
      </c>
      <c r="I623" s="40">
        <v>8820</v>
      </c>
      <c r="J623" s="40">
        <v>8820</v>
      </c>
      <c r="K623" s="46"/>
      <c r="L623" s="46"/>
      <c r="M623" s="46">
        <v>-18.13</v>
      </c>
      <c r="N623" s="36">
        <v>619</v>
      </c>
      <c r="O623" s="41">
        <v>42995.260451388887</v>
      </c>
    </row>
    <row r="624" spans="2:15" x14ac:dyDescent="0.25">
      <c r="B624" s="36" t="s">
        <v>2721</v>
      </c>
      <c r="C624" s="35" t="s">
        <v>1659</v>
      </c>
      <c r="D624" s="36" t="s">
        <v>1659</v>
      </c>
      <c r="E624" s="37">
        <v>1.19E-6</v>
      </c>
      <c r="F624" s="38">
        <v>4.7715600000000002E-3</v>
      </c>
      <c r="G624" s="39"/>
      <c r="H624" s="39">
        <v>138116</v>
      </c>
      <c r="I624" s="40">
        <v>28945766</v>
      </c>
      <c r="J624" s="40">
        <v>32045766</v>
      </c>
      <c r="K624" s="46"/>
      <c r="L624" s="46">
        <v>2.48</v>
      </c>
      <c r="M624" s="46">
        <v>13.38</v>
      </c>
      <c r="N624" s="36">
        <v>620</v>
      </c>
      <c r="O624" s="41">
        <v>42998.593611111108</v>
      </c>
    </row>
    <row r="625" spans="2:15" x14ac:dyDescent="0.25">
      <c r="B625" s="36" t="s">
        <v>2584</v>
      </c>
      <c r="C625" s="35" t="s">
        <v>595</v>
      </c>
      <c r="D625" s="36" t="s">
        <v>1645</v>
      </c>
      <c r="E625" s="37">
        <v>1.79E-6</v>
      </c>
      <c r="F625" s="38">
        <v>7.10431E-3</v>
      </c>
      <c r="G625" s="39">
        <v>150.64599999999999</v>
      </c>
      <c r="H625" s="39">
        <v>135814</v>
      </c>
      <c r="I625" s="40">
        <v>19117129</v>
      </c>
      <c r="J625" s="40">
        <v>19117129</v>
      </c>
      <c r="K625" s="46">
        <v>0.01</v>
      </c>
      <c r="L625" s="46">
        <v>2.79</v>
      </c>
      <c r="M625" s="46">
        <v>-7.83</v>
      </c>
      <c r="N625" s="36">
        <v>621</v>
      </c>
      <c r="O625" s="41">
        <v>42998.867407407408</v>
      </c>
    </row>
    <row r="626" spans="2:15" x14ac:dyDescent="0.25">
      <c r="B626" s="36" t="s">
        <v>2994</v>
      </c>
      <c r="C626" s="35" t="s">
        <v>880</v>
      </c>
      <c r="D626" s="36" t="s">
        <v>1918</v>
      </c>
      <c r="E626" s="37">
        <v>2.9999999999999997E-8</v>
      </c>
      <c r="F626" s="38">
        <v>1.1914299999999999E-4</v>
      </c>
      <c r="G626" s="39">
        <v>243.05500000000001</v>
      </c>
      <c r="H626" s="39">
        <v>135128</v>
      </c>
      <c r="I626" s="40">
        <v>1134163489</v>
      </c>
      <c r="J626" s="40">
        <v>1134163489</v>
      </c>
      <c r="K626" s="46">
        <v>-0.05</v>
      </c>
      <c r="L626" s="46">
        <v>1.51</v>
      </c>
      <c r="M626" s="46">
        <v>14.63</v>
      </c>
      <c r="N626" s="36">
        <v>622</v>
      </c>
      <c r="O626" s="41">
        <v>42998.867430555554</v>
      </c>
    </row>
    <row r="627" spans="2:15" x14ac:dyDescent="0.25">
      <c r="B627" s="36" t="s">
        <v>2576</v>
      </c>
      <c r="C627" s="35" t="s">
        <v>468</v>
      </c>
      <c r="D627" s="36" t="s">
        <v>1522</v>
      </c>
      <c r="E627" s="37">
        <v>2.8399999999999999E-6</v>
      </c>
      <c r="F627" s="38">
        <v>1.12934E-2</v>
      </c>
      <c r="G627" s="39">
        <v>20.726800000000001</v>
      </c>
      <c r="H627" s="39">
        <v>134608</v>
      </c>
      <c r="I627" s="40">
        <v>11919203</v>
      </c>
      <c r="J627" s="40">
        <v>11919203</v>
      </c>
      <c r="K627" s="46">
        <v>2.41</v>
      </c>
      <c r="L627" s="46">
        <v>1.74</v>
      </c>
      <c r="M627" s="46">
        <v>-2.54</v>
      </c>
      <c r="N627" s="36">
        <v>623</v>
      </c>
      <c r="O627" s="41">
        <v>42998.867615740739</v>
      </c>
    </row>
    <row r="628" spans="2:15" x14ac:dyDescent="0.25">
      <c r="B628" s="36" t="s">
        <v>2677</v>
      </c>
      <c r="C628" s="35" t="s">
        <v>433</v>
      </c>
      <c r="D628" s="36" t="s">
        <v>1489</v>
      </c>
      <c r="E628" s="37">
        <v>2.6E-7</v>
      </c>
      <c r="F628" s="38">
        <v>1.03257E-3</v>
      </c>
      <c r="G628" s="39">
        <v>438.85700000000003</v>
      </c>
      <c r="H628" s="39">
        <v>134335</v>
      </c>
      <c r="I628" s="40">
        <v>130098110</v>
      </c>
      <c r="J628" s="40">
        <v>250000000</v>
      </c>
      <c r="K628" s="46">
        <v>-0.05</v>
      </c>
      <c r="L628" s="46">
        <v>1.51</v>
      </c>
      <c r="M628" s="46">
        <v>-32.94</v>
      </c>
      <c r="N628" s="36">
        <v>624</v>
      </c>
      <c r="O628" s="41">
        <v>42998.867673611108</v>
      </c>
    </row>
    <row r="629" spans="2:15" x14ac:dyDescent="0.25">
      <c r="B629" s="36" t="s">
        <v>2724</v>
      </c>
      <c r="C629" s="35" t="s">
        <v>474</v>
      </c>
      <c r="D629" s="36" t="s">
        <v>1528</v>
      </c>
      <c r="E629" s="37">
        <v>2.2400000000000002E-6</v>
      </c>
      <c r="F629" s="38">
        <v>8.8782600000000007E-3</v>
      </c>
      <c r="G629" s="39">
        <v>406.37099999999998</v>
      </c>
      <c r="H629" s="39">
        <v>134263</v>
      </c>
      <c r="I629" s="40">
        <v>15122697</v>
      </c>
      <c r="J629" s="40">
        <v>15122697</v>
      </c>
      <c r="K629" s="46">
        <v>51.51</v>
      </c>
      <c r="L629" s="46">
        <v>60.81</v>
      </c>
      <c r="M629" s="46">
        <v>14.14</v>
      </c>
      <c r="N629" s="36">
        <v>625</v>
      </c>
      <c r="O629" s="41">
        <v>42998.867430555554</v>
      </c>
    </row>
    <row r="630" spans="2:15" x14ac:dyDescent="0.25">
      <c r="B630" s="36" t="s">
        <v>2497</v>
      </c>
      <c r="C630" s="35" t="s">
        <v>395</v>
      </c>
      <c r="D630" s="36" t="s">
        <v>1454</v>
      </c>
      <c r="E630" s="37">
        <v>8.9999999999999999E-8</v>
      </c>
      <c r="F630" s="38">
        <v>3.5008899999999999E-4</v>
      </c>
      <c r="G630" s="39">
        <v>61.874099999999999</v>
      </c>
      <c r="H630" s="39">
        <v>133467</v>
      </c>
      <c r="I630" s="40">
        <v>381236123</v>
      </c>
      <c r="J630" s="40">
        <v>1000000000</v>
      </c>
      <c r="K630" s="46">
        <v>-0.41</v>
      </c>
      <c r="L630" s="46">
        <v>-0.59</v>
      </c>
      <c r="M630" s="46">
        <v>-11.37</v>
      </c>
      <c r="N630" s="36">
        <v>626</v>
      </c>
      <c r="O630" s="41">
        <v>42998.867905092593</v>
      </c>
    </row>
    <row r="631" spans="2:15" x14ac:dyDescent="0.25">
      <c r="B631" s="36" t="s">
        <v>2710</v>
      </c>
      <c r="C631" s="35" t="s">
        <v>609</v>
      </c>
      <c r="D631" s="36" t="s">
        <v>1660</v>
      </c>
      <c r="E631" s="37">
        <v>4.6E-6</v>
      </c>
      <c r="F631" s="38">
        <v>1.8268599999999999E-2</v>
      </c>
      <c r="G631" s="39">
        <v>51.77</v>
      </c>
      <c r="H631" s="39">
        <v>132792</v>
      </c>
      <c r="I631" s="40">
        <v>7268860</v>
      </c>
      <c r="J631" s="40">
        <v>18468860</v>
      </c>
      <c r="K631" s="46">
        <v>-0.05</v>
      </c>
      <c r="L631" s="46">
        <v>-5.89</v>
      </c>
      <c r="M631" s="46">
        <v>-9.32</v>
      </c>
      <c r="N631" s="36">
        <v>627</v>
      </c>
      <c r="O631" s="41">
        <v>42998.867881944447</v>
      </c>
    </row>
    <row r="632" spans="2:15" x14ac:dyDescent="0.25">
      <c r="B632" s="36" t="s">
        <v>2712</v>
      </c>
      <c r="C632" s="35" t="s">
        <v>605</v>
      </c>
      <c r="D632" s="36" t="s">
        <v>1655</v>
      </c>
      <c r="E632" s="37">
        <v>2.8000000000000002E-7</v>
      </c>
      <c r="F632" s="38">
        <v>1.1119999999999999E-3</v>
      </c>
      <c r="G632" s="39">
        <v>5.8791900000000004</v>
      </c>
      <c r="H632" s="39">
        <v>131903</v>
      </c>
      <c r="I632" s="40">
        <v>118617954</v>
      </c>
      <c r="J632" s="40">
        <v>118617954</v>
      </c>
      <c r="K632" s="46">
        <v>-0.05</v>
      </c>
      <c r="L632" s="46">
        <v>1.51</v>
      </c>
      <c r="M632" s="46">
        <v>-1.61</v>
      </c>
      <c r="N632" s="36">
        <v>628</v>
      </c>
      <c r="O632" s="41">
        <v>42998.867407407408</v>
      </c>
    </row>
    <row r="633" spans="2:15" x14ac:dyDescent="0.25">
      <c r="B633" s="36" t="s">
        <v>2740</v>
      </c>
      <c r="C633" s="35" t="s">
        <v>645</v>
      </c>
      <c r="D633" s="36" t="s">
        <v>1694</v>
      </c>
      <c r="E633" s="37">
        <v>2.7180000000000001E-5</v>
      </c>
      <c r="F633" s="38">
        <v>0.10793999999999999</v>
      </c>
      <c r="G633" s="39">
        <v>2.0752700000000002</v>
      </c>
      <c r="H633" s="39">
        <v>131696</v>
      </c>
      <c r="I633" s="40">
        <v>1220085</v>
      </c>
      <c r="J633" s="40">
        <v>1220085</v>
      </c>
      <c r="K633" s="46">
        <v>-1.43</v>
      </c>
      <c r="L633" s="46">
        <v>1.95</v>
      </c>
      <c r="M633" s="46">
        <v>13.79</v>
      </c>
      <c r="N633" s="36">
        <v>629</v>
      </c>
      <c r="O633" s="41">
        <v>42998.867604166669</v>
      </c>
    </row>
    <row r="634" spans="2:15" x14ac:dyDescent="0.25">
      <c r="B634" s="36" t="s">
        <v>2715</v>
      </c>
      <c r="C634" s="35" t="s">
        <v>627</v>
      </c>
      <c r="D634" s="36" t="s">
        <v>1676</v>
      </c>
      <c r="E634" s="37">
        <v>1.099E-5</v>
      </c>
      <c r="F634" s="38">
        <v>4.36321E-2</v>
      </c>
      <c r="G634" s="39">
        <v>23.561299999999999</v>
      </c>
      <c r="H634" s="39">
        <v>130896</v>
      </c>
      <c r="I634" s="40">
        <v>3000000</v>
      </c>
      <c r="J634" s="40">
        <v>5000000</v>
      </c>
      <c r="K634" s="46">
        <v>0.02</v>
      </c>
      <c r="L634" s="46">
        <v>1.73</v>
      </c>
      <c r="M634" s="46">
        <v>-11.02</v>
      </c>
      <c r="N634" s="36">
        <v>630</v>
      </c>
      <c r="O634" s="41">
        <v>42998.867881944447</v>
      </c>
    </row>
    <row r="635" spans="2:15" x14ac:dyDescent="0.25">
      <c r="B635" s="36" t="s">
        <v>2734</v>
      </c>
      <c r="C635" s="35" t="s">
        <v>608</v>
      </c>
      <c r="D635" s="36" t="s">
        <v>1658</v>
      </c>
      <c r="E635" s="37">
        <v>5.8799999999999996E-6</v>
      </c>
      <c r="F635" s="38">
        <v>2.33557E-2</v>
      </c>
      <c r="G635" s="39">
        <v>26.683499999999999</v>
      </c>
      <c r="H635" s="39">
        <v>127181</v>
      </c>
      <c r="I635" s="40">
        <v>5445387</v>
      </c>
      <c r="J635" s="40">
        <v>5445387</v>
      </c>
      <c r="K635" s="46">
        <v>-0.05</v>
      </c>
      <c r="L635" s="46">
        <v>0.88</v>
      </c>
      <c r="M635" s="46">
        <v>-7.96</v>
      </c>
      <c r="N635" s="36">
        <v>631</v>
      </c>
      <c r="O635" s="41">
        <v>42998.867835648147</v>
      </c>
    </row>
    <row r="636" spans="2:15" x14ac:dyDescent="0.25">
      <c r="B636" s="36" t="s">
        <v>2711</v>
      </c>
      <c r="C636" s="35" t="s">
        <v>472</v>
      </c>
      <c r="D636" s="36" t="s">
        <v>1526</v>
      </c>
      <c r="E636" s="37">
        <v>2.4399999999999999E-6</v>
      </c>
      <c r="F636" s="38">
        <v>9.7089099999999994E-3</v>
      </c>
      <c r="G636" s="39">
        <v>302.84300000000002</v>
      </c>
      <c r="H636" s="39">
        <v>123373</v>
      </c>
      <c r="I636" s="40">
        <v>12707166</v>
      </c>
      <c r="J636" s="40">
        <v>12707166</v>
      </c>
      <c r="K636" s="46">
        <v>-0.52</v>
      </c>
      <c r="L636" s="46">
        <v>13.85</v>
      </c>
      <c r="M636" s="46">
        <v>-2.96</v>
      </c>
      <c r="N636" s="36">
        <v>632</v>
      </c>
      <c r="O636" s="41">
        <v>42998.867511574077</v>
      </c>
    </row>
    <row r="637" spans="2:15" x14ac:dyDescent="0.25">
      <c r="B637" s="36" t="s">
        <v>2742</v>
      </c>
      <c r="C637" s="35" t="s">
        <v>479</v>
      </c>
      <c r="D637" s="36" t="s">
        <v>1533</v>
      </c>
      <c r="E637" s="37">
        <v>8.7399999999999993E-6</v>
      </c>
      <c r="F637" s="38">
        <v>3.4710299999999999E-2</v>
      </c>
      <c r="G637" s="39">
        <v>60.360799999999998</v>
      </c>
      <c r="H637" s="39">
        <v>120548</v>
      </c>
      <c r="I637" s="40">
        <v>3472983</v>
      </c>
      <c r="J637" s="40">
        <v>3472983</v>
      </c>
      <c r="K637" s="46">
        <v>-0.05</v>
      </c>
      <c r="L637" s="46">
        <v>-27.12</v>
      </c>
      <c r="M637" s="46">
        <v>12.06</v>
      </c>
      <c r="N637" s="36">
        <v>633</v>
      </c>
      <c r="O637" s="41">
        <v>42998.867824074077</v>
      </c>
    </row>
    <row r="638" spans="2:15" x14ac:dyDescent="0.25">
      <c r="B638" s="36" t="s">
        <v>2705</v>
      </c>
      <c r="C638" s="35" t="s">
        <v>465</v>
      </c>
      <c r="D638" s="36">
        <v>888</v>
      </c>
      <c r="E638" s="37">
        <v>6.0999999999999998E-7</v>
      </c>
      <c r="F638" s="38">
        <v>2.4130499999999999E-3</v>
      </c>
      <c r="G638" s="39">
        <v>77.350399999999993</v>
      </c>
      <c r="H638" s="39">
        <v>120469</v>
      </c>
      <c r="I638" s="40">
        <v>49924060</v>
      </c>
      <c r="J638" s="40">
        <v>49924060</v>
      </c>
      <c r="K638" s="46">
        <v>17.489999999999998</v>
      </c>
      <c r="L638" s="46">
        <v>35.880000000000003</v>
      </c>
      <c r="M638" s="46">
        <v>-3.18</v>
      </c>
      <c r="N638" s="36">
        <v>634</v>
      </c>
      <c r="O638" s="41">
        <v>42998.867465277777</v>
      </c>
    </row>
    <row r="639" spans="2:15" x14ac:dyDescent="0.25">
      <c r="B639" s="36" t="s">
        <v>2723</v>
      </c>
      <c r="C639" s="35" t="s">
        <v>621</v>
      </c>
      <c r="D639" s="36" t="s">
        <v>1671</v>
      </c>
      <c r="E639" s="37">
        <v>9.9999999999999995E-8</v>
      </c>
      <c r="F639" s="38">
        <v>3.9775900000000002E-4</v>
      </c>
      <c r="G639" s="39">
        <v>71.900899999999993</v>
      </c>
      <c r="H639" s="39">
        <v>118489</v>
      </c>
      <c r="I639" s="40">
        <v>297891209</v>
      </c>
      <c r="J639" s="40">
        <v>297891209</v>
      </c>
      <c r="K639" s="46">
        <v>-6.17</v>
      </c>
      <c r="L639" s="46">
        <v>-6.57</v>
      </c>
      <c r="M639" s="46">
        <v>18.420000000000002</v>
      </c>
      <c r="N639" s="36">
        <v>635</v>
      </c>
      <c r="O639" s="41">
        <v>42998.867430555554</v>
      </c>
    </row>
    <row r="640" spans="2:15" x14ac:dyDescent="0.25">
      <c r="B640" s="36" t="s">
        <v>2758</v>
      </c>
      <c r="C640" s="35" t="s">
        <v>651</v>
      </c>
      <c r="D640" s="36" t="s">
        <v>1699</v>
      </c>
      <c r="E640" s="37">
        <v>1.3400000000000001E-6</v>
      </c>
      <c r="F640" s="38">
        <v>5.3217200000000003E-3</v>
      </c>
      <c r="G640" s="39">
        <v>7.9683599999999997</v>
      </c>
      <c r="H640" s="39">
        <v>117653</v>
      </c>
      <c r="I640" s="40">
        <v>22108160</v>
      </c>
      <c r="J640" s="40">
        <v>22108160</v>
      </c>
      <c r="K640" s="46">
        <v>-7.43</v>
      </c>
      <c r="L640" s="46">
        <v>4.63</v>
      </c>
      <c r="M640" s="46">
        <v>65.099999999999994</v>
      </c>
      <c r="N640" s="36">
        <v>636</v>
      </c>
      <c r="O640" s="41">
        <v>42998.867743055554</v>
      </c>
    </row>
    <row r="641" spans="2:15" x14ac:dyDescent="0.25">
      <c r="B641" s="36" t="s">
        <v>2768</v>
      </c>
      <c r="C641" s="35" t="s">
        <v>737</v>
      </c>
      <c r="D641" s="36" t="s">
        <v>1781</v>
      </c>
      <c r="E641" s="37">
        <v>1.6999999999999999E-7</v>
      </c>
      <c r="F641" s="38">
        <v>6.7514300000000001E-4</v>
      </c>
      <c r="G641" s="39">
        <v>10.495900000000001</v>
      </c>
      <c r="H641" s="39">
        <v>114503</v>
      </c>
      <c r="I641" s="40">
        <v>169598616</v>
      </c>
      <c r="J641" s="40">
        <v>169598616</v>
      </c>
      <c r="K641" s="46">
        <v>-0.05</v>
      </c>
      <c r="L641" s="46">
        <v>-18.079999999999998</v>
      </c>
      <c r="M641" s="46">
        <v>5.33</v>
      </c>
      <c r="N641" s="36">
        <v>637</v>
      </c>
      <c r="O641" s="41">
        <v>42998.867789351854</v>
      </c>
    </row>
    <row r="642" spans="2:15" x14ac:dyDescent="0.25">
      <c r="B642" s="36" t="s">
        <v>2718</v>
      </c>
      <c r="C642" s="35" t="s">
        <v>618</v>
      </c>
      <c r="D642" s="36" t="s">
        <v>1669</v>
      </c>
      <c r="E642" s="37">
        <v>31.284700000000001</v>
      </c>
      <c r="F642" s="38">
        <v>112280</v>
      </c>
      <c r="G642" s="39"/>
      <c r="H642" s="39">
        <v>114076</v>
      </c>
      <c r="I642" s="40">
        <v>1</v>
      </c>
      <c r="J642" s="40">
        <v>1</v>
      </c>
      <c r="K642" s="46"/>
      <c r="L642" s="46"/>
      <c r="M642" s="46">
        <v>-21.39</v>
      </c>
      <c r="N642" s="36">
        <v>638</v>
      </c>
      <c r="O642" s="41">
        <v>42995.261099537034</v>
      </c>
    </row>
    <row r="643" spans="2:15" x14ac:dyDescent="0.25">
      <c r="B643" s="36" t="s">
        <v>2733</v>
      </c>
      <c r="C643" s="35" t="s">
        <v>625</v>
      </c>
      <c r="D643" s="36" t="s">
        <v>1674</v>
      </c>
      <c r="E643" s="37">
        <v>1E-8</v>
      </c>
      <c r="F643" s="38">
        <v>3.97143E-5</v>
      </c>
      <c r="G643" s="39">
        <v>0.39714300000000002</v>
      </c>
      <c r="H643" s="39">
        <v>113845</v>
      </c>
      <c r="I643" s="40">
        <v>2866607586</v>
      </c>
      <c r="J643" s="40">
        <v>2866607586</v>
      </c>
      <c r="K643" s="46">
        <v>-0.05</v>
      </c>
      <c r="L643" s="46">
        <v>1.51</v>
      </c>
      <c r="M643" s="46">
        <v>1.92</v>
      </c>
      <c r="N643" s="36">
        <v>639</v>
      </c>
      <c r="O643" s="41">
        <v>42998.867696759262</v>
      </c>
    </row>
    <row r="644" spans="2:15" x14ac:dyDescent="0.25">
      <c r="B644" s="36" t="s">
        <v>2738</v>
      </c>
      <c r="C644" s="35" t="s">
        <v>635</v>
      </c>
      <c r="D644" s="36" t="s">
        <v>1684</v>
      </c>
      <c r="E644" s="37">
        <v>6.7299999999999999E-6</v>
      </c>
      <c r="F644" s="38">
        <v>2.67277E-2</v>
      </c>
      <c r="G644" s="39">
        <v>95.267600000000002</v>
      </c>
      <c r="H644" s="39">
        <v>111797</v>
      </c>
      <c r="I644" s="40">
        <v>4182801</v>
      </c>
      <c r="J644" s="40">
        <v>4182801</v>
      </c>
      <c r="K644" s="46">
        <v>-0.12</v>
      </c>
      <c r="L644" s="46">
        <v>19.010000000000002</v>
      </c>
      <c r="M644" s="46">
        <v>28.34</v>
      </c>
      <c r="N644" s="36">
        <v>640</v>
      </c>
      <c r="O644" s="41">
        <v>42998.867511574077</v>
      </c>
    </row>
    <row r="645" spans="2:15" x14ac:dyDescent="0.25">
      <c r="B645" s="36" t="s">
        <v>2713</v>
      </c>
      <c r="C645" s="35" t="s">
        <v>473</v>
      </c>
      <c r="D645" s="36" t="s">
        <v>1527</v>
      </c>
      <c r="E645" s="37">
        <v>8.2300000000000008E-6</v>
      </c>
      <c r="F645" s="38">
        <v>3.2684900000000003E-2</v>
      </c>
      <c r="G645" s="39">
        <v>212.83500000000001</v>
      </c>
      <c r="H645" s="39">
        <v>109862</v>
      </c>
      <c r="I645" s="40">
        <v>3361250</v>
      </c>
      <c r="J645" s="40">
        <v>3361250</v>
      </c>
      <c r="K645" s="46">
        <v>-0.05</v>
      </c>
      <c r="L645" s="46">
        <v>-5.28</v>
      </c>
      <c r="M645" s="46">
        <v>-4.7300000000000004</v>
      </c>
      <c r="N645" s="36">
        <v>641</v>
      </c>
      <c r="O645" s="41">
        <v>42998.867847222224</v>
      </c>
    </row>
    <row r="646" spans="2:15" x14ac:dyDescent="0.25">
      <c r="B646" s="36" t="s">
        <v>2706</v>
      </c>
      <c r="C646" s="35" t="s">
        <v>628</v>
      </c>
      <c r="D646" s="36" t="s">
        <v>1677</v>
      </c>
      <c r="E646" s="37">
        <v>1.61E-6</v>
      </c>
      <c r="F646" s="38">
        <v>6.39727E-3</v>
      </c>
      <c r="G646" s="39">
        <v>9.6833799999999997</v>
      </c>
      <c r="H646" s="39">
        <v>109850</v>
      </c>
      <c r="I646" s="40">
        <v>17171382</v>
      </c>
      <c r="J646" s="40">
        <v>17171382</v>
      </c>
      <c r="K646" s="46">
        <v>5.24</v>
      </c>
      <c r="L646" s="46">
        <v>-1.5</v>
      </c>
      <c r="M646" s="46">
        <v>-36.58</v>
      </c>
      <c r="N646" s="36">
        <v>642</v>
      </c>
      <c r="O646" s="41">
        <v>42998.867546296293</v>
      </c>
    </row>
    <row r="647" spans="2:15" x14ac:dyDescent="0.25">
      <c r="B647" s="36" t="s">
        <v>2596</v>
      </c>
      <c r="C647" s="35" t="s">
        <v>482</v>
      </c>
      <c r="D647" s="36" t="s">
        <v>1536</v>
      </c>
      <c r="E647" s="37">
        <v>0.338814</v>
      </c>
      <c r="F647" s="38">
        <v>1216</v>
      </c>
      <c r="G647" s="39"/>
      <c r="H647" s="39">
        <v>109403</v>
      </c>
      <c r="I647" s="40">
        <v>90</v>
      </c>
      <c r="J647" s="40">
        <v>90</v>
      </c>
      <c r="K647" s="46"/>
      <c r="L647" s="46"/>
      <c r="M647" s="46">
        <v>-27.8</v>
      </c>
      <c r="N647" s="36">
        <v>643</v>
      </c>
      <c r="O647" s="41">
        <v>42995.260034722225</v>
      </c>
    </row>
    <row r="648" spans="2:15" x14ac:dyDescent="0.25">
      <c r="B648" s="36" t="s">
        <v>2749</v>
      </c>
      <c r="C648" s="35" t="s">
        <v>614</v>
      </c>
      <c r="D648" s="36" t="s">
        <v>1665</v>
      </c>
      <c r="E648" s="37">
        <v>9.5000000000000001E-7</v>
      </c>
      <c r="F648" s="38">
        <v>3.7728599999999998E-3</v>
      </c>
      <c r="G648" s="39">
        <v>217.703</v>
      </c>
      <c r="H648" s="39">
        <v>108895</v>
      </c>
      <c r="I648" s="40">
        <v>28862641</v>
      </c>
      <c r="J648" s="40">
        <v>100000000</v>
      </c>
      <c r="K648" s="46">
        <v>-0.05</v>
      </c>
      <c r="L648" s="46">
        <v>-9.23</v>
      </c>
      <c r="M648" s="46"/>
      <c r="N648" s="36">
        <v>644</v>
      </c>
      <c r="O648" s="41">
        <v>42998.867407407408</v>
      </c>
    </row>
    <row r="649" spans="2:15" x14ac:dyDescent="0.25">
      <c r="B649" s="36" t="s">
        <v>2575</v>
      </c>
      <c r="C649" s="35" t="s">
        <v>495</v>
      </c>
      <c r="D649" s="36" t="s">
        <v>1550</v>
      </c>
      <c r="E649" s="37">
        <v>1.24E-6</v>
      </c>
      <c r="F649" s="38">
        <v>4.93254E-3</v>
      </c>
      <c r="G649" s="39">
        <v>173.309</v>
      </c>
      <c r="H649" s="39">
        <v>108290</v>
      </c>
      <c r="I649" s="40">
        <v>21954150</v>
      </c>
      <c r="J649" s="40">
        <v>21954150</v>
      </c>
      <c r="K649" s="46">
        <v>-0.11</v>
      </c>
      <c r="L649" s="46">
        <v>-15.69</v>
      </c>
      <c r="M649" s="46">
        <v>43.18</v>
      </c>
      <c r="N649" s="36">
        <v>645</v>
      </c>
      <c r="O649" s="41">
        <v>42998.867974537039</v>
      </c>
    </row>
    <row r="650" spans="2:15" x14ac:dyDescent="0.25">
      <c r="B650" s="36" t="s">
        <v>2594</v>
      </c>
      <c r="C650" s="35" t="s">
        <v>488</v>
      </c>
      <c r="D650" s="36" t="s">
        <v>1543</v>
      </c>
      <c r="E650" s="37">
        <v>9.9640000000000001E-5</v>
      </c>
      <c r="F650" s="38">
        <v>0.395702</v>
      </c>
      <c r="G650" s="39">
        <v>412.447</v>
      </c>
      <c r="H650" s="39">
        <v>108022</v>
      </c>
      <c r="I650" s="40">
        <v>272987</v>
      </c>
      <c r="J650" s="40">
        <v>272987</v>
      </c>
      <c r="K650" s="46">
        <v>-0.09</v>
      </c>
      <c r="L650" s="46">
        <v>5.67</v>
      </c>
      <c r="M650" s="46">
        <v>1.34</v>
      </c>
      <c r="N650" s="36">
        <v>646</v>
      </c>
      <c r="O650" s="41">
        <v>42998.867638888885</v>
      </c>
    </row>
    <row r="651" spans="2:15" x14ac:dyDescent="0.25">
      <c r="B651" s="36" t="s">
        <v>2736</v>
      </c>
      <c r="C651" s="35" t="s">
        <v>325</v>
      </c>
      <c r="D651" s="36" t="s">
        <v>1537</v>
      </c>
      <c r="E651" s="37">
        <v>2E-8</v>
      </c>
      <c r="F651" s="38">
        <v>7.94286E-5</v>
      </c>
      <c r="G651" s="39">
        <v>287.654</v>
      </c>
      <c r="H651" s="39">
        <v>107756</v>
      </c>
      <c r="I651" s="40">
        <v>1356645470</v>
      </c>
      <c r="J651" s="40">
        <v>2856645470</v>
      </c>
      <c r="K651" s="46">
        <v>-0.05</v>
      </c>
      <c r="L651" s="46">
        <v>1.51</v>
      </c>
      <c r="M651" s="46">
        <v>1.92</v>
      </c>
      <c r="N651" s="36">
        <v>647</v>
      </c>
      <c r="O651" s="41">
        <v>42998.867650462962</v>
      </c>
    </row>
    <row r="652" spans="2:15" x14ac:dyDescent="0.25">
      <c r="B652" s="36" t="s">
        <v>2591</v>
      </c>
      <c r="C652" s="35" t="s">
        <v>481</v>
      </c>
      <c r="D652" s="36" t="s">
        <v>1535</v>
      </c>
      <c r="E652" s="37">
        <v>6.1999999999999999E-7</v>
      </c>
      <c r="F652" s="38">
        <v>2.4797199999999999E-3</v>
      </c>
      <c r="G652" s="39">
        <v>231.768</v>
      </c>
      <c r="H652" s="39">
        <v>106950</v>
      </c>
      <c r="I652" s="40">
        <v>43130050</v>
      </c>
      <c r="J652" s="40">
        <v>1005242410</v>
      </c>
      <c r="K652" s="46">
        <v>0.18</v>
      </c>
      <c r="L652" s="46">
        <v>3.55</v>
      </c>
      <c r="M652" s="46">
        <v>-15.21</v>
      </c>
      <c r="N652" s="36">
        <v>648</v>
      </c>
      <c r="O652" s="41">
        <v>42998.86787037037</v>
      </c>
    </row>
    <row r="653" spans="2:15" x14ac:dyDescent="0.25">
      <c r="B653" s="36" t="s">
        <v>2762</v>
      </c>
      <c r="C653" s="35" t="s">
        <v>662</v>
      </c>
      <c r="D653" s="36" t="s">
        <v>1710</v>
      </c>
      <c r="E653" s="37">
        <v>6.3E-7</v>
      </c>
      <c r="F653" s="38">
        <v>2.5019999999999999E-3</v>
      </c>
      <c r="G653" s="39">
        <v>101.614</v>
      </c>
      <c r="H653" s="39">
        <v>106037</v>
      </c>
      <c r="I653" s="40">
        <v>42380967</v>
      </c>
      <c r="J653" s="40">
        <v>10042380967</v>
      </c>
      <c r="K653" s="46">
        <v>-0.05</v>
      </c>
      <c r="L653" s="46">
        <v>30.51</v>
      </c>
      <c r="M653" s="46">
        <v>13.74</v>
      </c>
      <c r="N653" s="36">
        <v>649</v>
      </c>
      <c r="O653" s="41">
        <v>42998.867604166669</v>
      </c>
    </row>
    <row r="654" spans="2:15" x14ac:dyDescent="0.25">
      <c r="B654" s="36" t="s">
        <v>2785</v>
      </c>
      <c r="C654" s="35" t="s">
        <v>666</v>
      </c>
      <c r="D654" s="36" t="s">
        <v>1714</v>
      </c>
      <c r="E654" s="37">
        <v>2.3980000000000001E-5</v>
      </c>
      <c r="F654" s="38">
        <v>9.5234899999999997E-2</v>
      </c>
      <c r="G654" s="39">
        <v>1.3992899999999999</v>
      </c>
      <c r="H654" s="39">
        <v>102291</v>
      </c>
      <c r="I654" s="40">
        <v>1074095</v>
      </c>
      <c r="J654" s="40">
        <v>1074095</v>
      </c>
      <c r="K654" s="46">
        <v>-0.05</v>
      </c>
      <c r="L654" s="46">
        <v>34.700000000000003</v>
      </c>
      <c r="M654" s="46">
        <v>14.14</v>
      </c>
      <c r="N654" s="36">
        <v>650</v>
      </c>
      <c r="O654" s="41">
        <v>42998.867858796293</v>
      </c>
    </row>
    <row r="655" spans="2:15" x14ac:dyDescent="0.25">
      <c r="B655" s="36" t="s">
        <v>2717</v>
      </c>
      <c r="C655" s="35" t="s">
        <v>632</v>
      </c>
      <c r="D655" s="36" t="s">
        <v>1681</v>
      </c>
      <c r="E655" s="37">
        <v>4.1099999999999996E-6</v>
      </c>
      <c r="F655" s="38">
        <v>1.58564E-2</v>
      </c>
      <c r="G655" s="39"/>
      <c r="H655" s="39">
        <v>100930</v>
      </c>
      <c r="I655" s="40">
        <v>6365285</v>
      </c>
      <c r="J655" s="40">
        <v>6365285</v>
      </c>
      <c r="K655" s="46"/>
      <c r="L655" s="46"/>
      <c r="M655" s="46"/>
      <c r="N655" s="36">
        <v>651</v>
      </c>
      <c r="O655" s="41">
        <v>42996.249456018515</v>
      </c>
    </row>
    <row r="656" spans="2:15" x14ac:dyDescent="0.25">
      <c r="B656" s="36" t="s">
        <v>2735</v>
      </c>
      <c r="C656" s="35" t="s">
        <v>629</v>
      </c>
      <c r="D656" s="36" t="s">
        <v>1678</v>
      </c>
      <c r="E656" s="37">
        <v>5.7999999999999995E-7</v>
      </c>
      <c r="F656" s="38">
        <v>2.30343E-3</v>
      </c>
      <c r="G656" s="39">
        <v>16.5746</v>
      </c>
      <c r="H656" s="39">
        <v>100284</v>
      </c>
      <c r="I656" s="40">
        <v>43536800</v>
      </c>
      <c r="J656" s="40">
        <v>43536800</v>
      </c>
      <c r="K656" s="46">
        <v>-12.16</v>
      </c>
      <c r="L656" s="46">
        <v>-11.91</v>
      </c>
      <c r="M656" s="46">
        <v>-15.83</v>
      </c>
      <c r="N656" s="36">
        <v>652</v>
      </c>
      <c r="O656" s="41">
        <v>42998.867430555554</v>
      </c>
    </row>
    <row r="657" spans="2:15" x14ac:dyDescent="0.25">
      <c r="B657" s="36" t="s">
        <v>2580</v>
      </c>
      <c r="C657" s="35" t="s">
        <v>622</v>
      </c>
      <c r="D657" s="36" t="s">
        <v>1672</v>
      </c>
      <c r="E657" s="37">
        <v>2E-8</v>
      </c>
      <c r="F657" s="38">
        <v>7.9434199999999999E-5</v>
      </c>
      <c r="G657" s="39">
        <v>134.654</v>
      </c>
      <c r="H657" s="39">
        <v>100073</v>
      </c>
      <c r="I657" s="40">
        <v>1259816434</v>
      </c>
      <c r="J657" s="40">
        <v>1259816434</v>
      </c>
      <c r="K657" s="46">
        <v>-28.39</v>
      </c>
      <c r="L657" s="46">
        <v>1.37</v>
      </c>
      <c r="M657" s="46">
        <v>-20.77</v>
      </c>
      <c r="N657" s="36">
        <v>653</v>
      </c>
      <c r="O657" s="41">
        <v>42998.867534722223</v>
      </c>
    </row>
    <row r="658" spans="2:15" x14ac:dyDescent="0.25">
      <c r="B658" s="36" t="s">
        <v>2708</v>
      </c>
      <c r="C658" s="35" t="s">
        <v>602</v>
      </c>
      <c r="D658" s="36" t="s">
        <v>1652</v>
      </c>
      <c r="E658" s="37">
        <v>1.9199999999999998E-6</v>
      </c>
      <c r="F658" s="38">
        <v>7.6301099999999998E-3</v>
      </c>
      <c r="G658" s="39">
        <v>2.2127299999999999E-2</v>
      </c>
      <c r="H658" s="39">
        <v>97245</v>
      </c>
      <c r="I658" s="40">
        <v>12744852</v>
      </c>
      <c r="J658" s="40">
        <v>12744852</v>
      </c>
      <c r="K658" s="46">
        <v>-0.48</v>
      </c>
      <c r="L658" s="46">
        <v>-12.69</v>
      </c>
      <c r="M658" s="46">
        <v>2.8</v>
      </c>
      <c r="N658" s="36">
        <v>654</v>
      </c>
      <c r="O658" s="41">
        <v>42998.867881944447</v>
      </c>
    </row>
    <row r="659" spans="2:15" x14ac:dyDescent="0.25">
      <c r="B659" s="36" t="s">
        <v>2603</v>
      </c>
      <c r="C659" s="35" t="s">
        <v>489</v>
      </c>
      <c r="D659" s="36" t="s">
        <v>1544</v>
      </c>
      <c r="E659" s="37">
        <v>3.9999999999999998E-6</v>
      </c>
      <c r="F659" s="38">
        <v>1.5885699999999999E-2</v>
      </c>
      <c r="G659" s="39">
        <v>22.288900000000002</v>
      </c>
      <c r="H659" s="39">
        <v>96028</v>
      </c>
      <c r="I659" s="40">
        <v>6044911</v>
      </c>
      <c r="J659" s="40">
        <v>6044911</v>
      </c>
      <c r="K659" s="46">
        <v>-4.05</v>
      </c>
      <c r="L659" s="46">
        <v>-1.24</v>
      </c>
      <c r="M659" s="46">
        <v>0.37</v>
      </c>
      <c r="N659" s="36">
        <v>655</v>
      </c>
      <c r="O659" s="41">
        <v>42998.867476851854</v>
      </c>
    </row>
    <row r="660" spans="2:15" x14ac:dyDescent="0.25">
      <c r="B660" s="36" t="s">
        <v>2746</v>
      </c>
      <c r="C660" s="35" t="s">
        <v>638</v>
      </c>
      <c r="D660" s="36" t="s">
        <v>1687</v>
      </c>
      <c r="E660" s="37">
        <v>1E-8</v>
      </c>
      <c r="F660" s="38">
        <v>3.9133500000000001E-5</v>
      </c>
      <c r="G660" s="39"/>
      <c r="H660" s="39">
        <v>95060</v>
      </c>
      <c r="I660" s="40">
        <v>2429126009</v>
      </c>
      <c r="J660" s="40">
        <v>2429126009</v>
      </c>
      <c r="K660" s="46"/>
      <c r="L660" s="46">
        <v>0</v>
      </c>
      <c r="M660" s="46">
        <v>0.43</v>
      </c>
      <c r="N660" s="36">
        <v>656</v>
      </c>
      <c r="O660" s="41">
        <v>42997.912719907406</v>
      </c>
    </row>
    <row r="661" spans="2:15" x14ac:dyDescent="0.25">
      <c r="B661" s="36" t="s">
        <v>2760</v>
      </c>
      <c r="C661" s="35" t="s">
        <v>493</v>
      </c>
      <c r="D661" s="36" t="s">
        <v>1548</v>
      </c>
      <c r="E661" s="37">
        <v>5.8999999999999996E-7</v>
      </c>
      <c r="F661" s="38">
        <v>2.3448800000000001E-3</v>
      </c>
      <c r="G661" s="39">
        <v>98.704800000000006</v>
      </c>
      <c r="H661" s="39">
        <v>94914</v>
      </c>
      <c r="I661" s="40">
        <v>40477042</v>
      </c>
      <c r="J661" s="40">
        <v>51530001</v>
      </c>
      <c r="K661" s="46">
        <v>-0.46</v>
      </c>
      <c r="L661" s="46">
        <v>16.73</v>
      </c>
      <c r="M661" s="46">
        <v>-18.88</v>
      </c>
      <c r="N661" s="36">
        <v>657</v>
      </c>
      <c r="O661" s="41">
        <v>42998.867696759262</v>
      </c>
    </row>
    <row r="662" spans="2:15" x14ac:dyDescent="0.25">
      <c r="B662" s="36" t="s">
        <v>2731</v>
      </c>
      <c r="C662" s="35" t="s">
        <v>630</v>
      </c>
      <c r="D662" s="36" t="s">
        <v>1679</v>
      </c>
      <c r="E662" s="37">
        <v>7.9090000000000003E-5</v>
      </c>
      <c r="F662" s="38">
        <v>0.31411</v>
      </c>
      <c r="G662" s="39">
        <v>124.155</v>
      </c>
      <c r="H662" s="39">
        <v>94041</v>
      </c>
      <c r="I662" s="40">
        <v>299388</v>
      </c>
      <c r="J662" s="40">
        <v>299388</v>
      </c>
      <c r="K662" s="46">
        <v>-0.87</v>
      </c>
      <c r="L662" s="46">
        <v>-25.84</v>
      </c>
      <c r="M662" s="46">
        <v>-9.84</v>
      </c>
      <c r="N662" s="36">
        <v>658</v>
      </c>
      <c r="O662" s="41">
        <v>42998.867627314816</v>
      </c>
    </row>
    <row r="663" spans="2:15" x14ac:dyDescent="0.25">
      <c r="B663" s="36" t="s">
        <v>2668</v>
      </c>
      <c r="C663" s="35" t="s">
        <v>423</v>
      </c>
      <c r="D663" s="36" t="s">
        <v>1479</v>
      </c>
      <c r="E663" s="37">
        <v>1.0000000000000001E-9</v>
      </c>
      <c r="F663" s="38">
        <v>4.4476000000000004E-6</v>
      </c>
      <c r="G663" s="39"/>
      <c r="H663" s="39">
        <v>90861</v>
      </c>
      <c r="I663" s="40">
        <v>20429329668</v>
      </c>
      <c r="J663" s="40">
        <v>20730024821</v>
      </c>
      <c r="K663" s="46"/>
      <c r="L663" s="46">
        <v>-0.61</v>
      </c>
      <c r="M663" s="46">
        <v>-67.489999999999995</v>
      </c>
      <c r="N663" s="36">
        <v>659</v>
      </c>
      <c r="O663" s="41">
        <v>42998.593634259261</v>
      </c>
    </row>
    <row r="664" spans="2:15" x14ac:dyDescent="0.25">
      <c r="B664" s="36" t="s">
        <v>2727</v>
      </c>
      <c r="C664" s="35" t="s">
        <v>619</v>
      </c>
      <c r="D664" s="36" t="s">
        <v>1670</v>
      </c>
      <c r="E664" s="37">
        <v>2.2999999999999999E-7</v>
      </c>
      <c r="F664" s="38">
        <v>9.0265899999999999E-4</v>
      </c>
      <c r="G664" s="39">
        <v>23.196000000000002</v>
      </c>
      <c r="H664" s="39">
        <v>90245</v>
      </c>
      <c r="I664" s="40">
        <v>99976323</v>
      </c>
      <c r="J664" s="40">
        <v>99976323</v>
      </c>
      <c r="K664" s="46">
        <v>-4.88</v>
      </c>
      <c r="L664" s="46">
        <v>0.31</v>
      </c>
      <c r="M664" s="46">
        <v>-7.62</v>
      </c>
      <c r="N664" s="36">
        <v>660</v>
      </c>
      <c r="O664" s="41">
        <v>42998.867511574077</v>
      </c>
    </row>
    <row r="665" spans="2:15" x14ac:dyDescent="0.25">
      <c r="B665" s="36" t="s">
        <v>2581</v>
      </c>
      <c r="C665" s="35" t="s">
        <v>471</v>
      </c>
      <c r="D665" s="36" t="s">
        <v>1525</v>
      </c>
      <c r="E665" s="37">
        <v>8.9999999999999999E-8</v>
      </c>
      <c r="F665" s="38">
        <v>3.5741599999999999E-4</v>
      </c>
      <c r="G665" s="39">
        <v>249.81800000000001</v>
      </c>
      <c r="H665" s="39">
        <v>89451</v>
      </c>
      <c r="I665" s="40">
        <v>250272112</v>
      </c>
      <c r="J665" s="40">
        <v>250272112</v>
      </c>
      <c r="K665" s="46">
        <v>0.01</v>
      </c>
      <c r="L665" s="46">
        <v>-1.94</v>
      </c>
      <c r="M665" s="46">
        <v>19.46</v>
      </c>
      <c r="N665" s="36">
        <v>661</v>
      </c>
      <c r="O665" s="41">
        <v>42998.868009259262</v>
      </c>
    </row>
    <row r="666" spans="2:15" x14ac:dyDescent="0.25">
      <c r="B666" s="36" t="s">
        <v>3218</v>
      </c>
      <c r="C666" s="35" t="s">
        <v>3215</v>
      </c>
      <c r="D666" s="36" t="s">
        <v>3216</v>
      </c>
      <c r="E666" s="37">
        <v>9.7999999999999993E-6</v>
      </c>
      <c r="F666" s="38">
        <v>3.8920000000000003E-2</v>
      </c>
      <c r="G666" s="39">
        <v>36.979199999999999</v>
      </c>
      <c r="H666" s="39">
        <v>88940</v>
      </c>
      <c r="I666" s="40">
        <v>2285194</v>
      </c>
      <c r="J666" s="40">
        <v>7002789</v>
      </c>
      <c r="K666" s="46">
        <v>21.07</v>
      </c>
      <c r="L666" s="46">
        <v>10.53</v>
      </c>
      <c r="M666" s="46">
        <v>-12.5</v>
      </c>
      <c r="N666" s="36">
        <v>662</v>
      </c>
      <c r="O666" s="41">
        <v>42998.867789351854</v>
      </c>
    </row>
    <row r="667" spans="2:15" x14ac:dyDescent="0.25">
      <c r="B667" s="36" t="s">
        <v>2597</v>
      </c>
      <c r="C667" s="35" t="s">
        <v>485</v>
      </c>
      <c r="D667" s="36" t="s">
        <v>1540</v>
      </c>
      <c r="E667" s="37">
        <v>3.1053999999999999E-4</v>
      </c>
      <c r="F667" s="38">
        <v>1.11452</v>
      </c>
      <c r="G667" s="39"/>
      <c r="H667" s="39">
        <v>86682</v>
      </c>
      <c r="I667" s="40">
        <v>77775</v>
      </c>
      <c r="J667" s="40">
        <v>77775</v>
      </c>
      <c r="K667" s="46"/>
      <c r="L667" s="46"/>
      <c r="M667" s="46">
        <v>-6.55</v>
      </c>
      <c r="N667" s="36">
        <v>663</v>
      </c>
      <c r="O667" s="41">
        <v>42995.260289351849</v>
      </c>
    </row>
    <row r="668" spans="2:15" x14ac:dyDescent="0.25">
      <c r="B668" s="36" t="s">
        <v>2751</v>
      </c>
      <c r="C668" s="35" t="s">
        <v>634</v>
      </c>
      <c r="D668" s="36" t="s">
        <v>1683</v>
      </c>
      <c r="E668" s="37">
        <v>9.0149999999999996E-5</v>
      </c>
      <c r="F668" s="38">
        <v>0.35802400000000001</v>
      </c>
      <c r="G668" s="39">
        <v>118.03700000000001</v>
      </c>
      <c r="H668" s="39">
        <v>86417</v>
      </c>
      <c r="I668" s="40">
        <v>241371</v>
      </c>
      <c r="J668" s="40">
        <v>241371</v>
      </c>
      <c r="K668" s="46">
        <v>-0.03</v>
      </c>
      <c r="L668" s="46">
        <v>-22.89</v>
      </c>
      <c r="M668" s="46">
        <v>14.49</v>
      </c>
      <c r="N668" s="36">
        <v>664</v>
      </c>
      <c r="O668" s="41">
        <v>42998.867858796293</v>
      </c>
    </row>
    <row r="669" spans="2:15" x14ac:dyDescent="0.25">
      <c r="B669" s="36" t="s">
        <v>2773</v>
      </c>
      <c r="C669" s="35" t="s">
        <v>668</v>
      </c>
      <c r="D669" s="36" t="s">
        <v>1715</v>
      </c>
      <c r="E669" s="37">
        <v>1.7999999999999999E-6</v>
      </c>
      <c r="F669" s="38">
        <v>7.1485699999999999E-3</v>
      </c>
      <c r="G669" s="39">
        <v>47.603000000000002</v>
      </c>
      <c r="H669" s="39">
        <v>84750</v>
      </c>
      <c r="I669" s="40">
        <v>11855487</v>
      </c>
      <c r="J669" s="40">
        <v>11855487</v>
      </c>
      <c r="K669" s="46">
        <v>-0.05</v>
      </c>
      <c r="L669" s="46">
        <v>5.01</v>
      </c>
      <c r="M669" s="46">
        <v>-16.7</v>
      </c>
      <c r="N669" s="36">
        <v>665</v>
      </c>
      <c r="O669" s="41">
        <v>42998.8675</v>
      </c>
    </row>
    <row r="670" spans="2:15" x14ac:dyDescent="0.25">
      <c r="B670" s="36" t="s">
        <v>2755</v>
      </c>
      <c r="C670" s="35" t="s">
        <v>653</v>
      </c>
      <c r="D670" s="36" t="s">
        <v>1701</v>
      </c>
      <c r="E670" s="37">
        <v>1E-8</v>
      </c>
      <c r="F670" s="38">
        <v>4.0398300000000002E-5</v>
      </c>
      <c r="G670" s="39">
        <v>239.45599999999999</v>
      </c>
      <c r="H670" s="39">
        <v>84318</v>
      </c>
      <c r="I670" s="40">
        <v>2087172706</v>
      </c>
      <c r="J670" s="40">
        <v>2087172706</v>
      </c>
      <c r="K670" s="46">
        <v>-7.0000000000000007E-2</v>
      </c>
      <c r="L670" s="46">
        <v>-47.9</v>
      </c>
      <c r="M670" s="46">
        <v>3.7</v>
      </c>
      <c r="N670" s="36">
        <v>666</v>
      </c>
      <c r="O670" s="41">
        <v>42998.867673611108</v>
      </c>
    </row>
    <row r="671" spans="2:15" x14ac:dyDescent="0.25">
      <c r="B671" s="36" t="s">
        <v>2795</v>
      </c>
      <c r="C671" s="35" t="s">
        <v>678</v>
      </c>
      <c r="D671" s="36" t="s">
        <v>1725</v>
      </c>
      <c r="E671" s="37">
        <v>3.9299999999999996E-6</v>
      </c>
      <c r="F671" s="38">
        <v>1.56223E-2</v>
      </c>
      <c r="G671" s="39">
        <v>214.23599999999999</v>
      </c>
      <c r="H671" s="39">
        <v>83875</v>
      </c>
      <c r="I671" s="40">
        <v>5368934</v>
      </c>
      <c r="J671" s="40">
        <v>5368934</v>
      </c>
      <c r="K671" s="46">
        <v>14.72</v>
      </c>
      <c r="L671" s="46">
        <v>12.53</v>
      </c>
      <c r="M671" s="46">
        <v>34.979999999999997</v>
      </c>
      <c r="N671" s="36">
        <v>667</v>
      </c>
      <c r="O671" s="41">
        <v>42998.867685185185</v>
      </c>
    </row>
    <row r="672" spans="2:15" x14ac:dyDescent="0.25">
      <c r="B672" s="36" t="s">
        <v>2737</v>
      </c>
      <c r="C672" s="35" t="s">
        <v>633</v>
      </c>
      <c r="D672" s="36" t="s">
        <v>1682</v>
      </c>
      <c r="E672" s="37">
        <v>1.9999999999999999E-7</v>
      </c>
      <c r="F672" s="38">
        <v>7.8477899999999999E-4</v>
      </c>
      <c r="G672" s="39">
        <v>155.63200000000001</v>
      </c>
      <c r="H672" s="39">
        <v>83034</v>
      </c>
      <c r="I672" s="40">
        <v>105806076</v>
      </c>
      <c r="J672" s="40">
        <v>105806076</v>
      </c>
      <c r="K672" s="46">
        <v>-0.05</v>
      </c>
      <c r="L672" s="46">
        <v>62.55</v>
      </c>
      <c r="M672" s="46">
        <v>6</v>
      </c>
      <c r="N672" s="36">
        <v>668</v>
      </c>
      <c r="O672" s="41">
        <v>42998.867824074077</v>
      </c>
    </row>
    <row r="673" spans="2:15" x14ac:dyDescent="0.25">
      <c r="B673" s="36" t="s">
        <v>2845</v>
      </c>
      <c r="C673" s="35" t="s">
        <v>759</v>
      </c>
      <c r="D673" s="36" t="s">
        <v>1803</v>
      </c>
      <c r="E673" s="37">
        <v>3.2410000000000003E-5</v>
      </c>
      <c r="F673" s="38">
        <v>0.12870100000000001</v>
      </c>
      <c r="G673" s="39">
        <v>456.45299999999997</v>
      </c>
      <c r="H673" s="39">
        <v>81126</v>
      </c>
      <c r="I673" s="40">
        <v>630343</v>
      </c>
      <c r="J673" s="40">
        <v>630343</v>
      </c>
      <c r="K673" s="46">
        <v>1.91</v>
      </c>
      <c r="L673" s="46">
        <v>73.58</v>
      </c>
      <c r="M673" s="46">
        <v>129.97999999999999</v>
      </c>
      <c r="N673" s="36">
        <v>669</v>
      </c>
      <c r="O673" s="41">
        <v>42998.867754629631</v>
      </c>
    </row>
    <row r="674" spans="2:15" x14ac:dyDescent="0.25">
      <c r="B674" s="36" t="s">
        <v>2579</v>
      </c>
      <c r="C674" s="35" t="s">
        <v>642</v>
      </c>
      <c r="D674" s="36" t="s">
        <v>1691</v>
      </c>
      <c r="E674" s="37">
        <v>8.1100000000000003E-6</v>
      </c>
      <c r="F674" s="38">
        <v>3.2192199999999997E-2</v>
      </c>
      <c r="G674" s="39">
        <v>16.534800000000001</v>
      </c>
      <c r="H674" s="39">
        <v>79737</v>
      </c>
      <c r="I674" s="40">
        <v>2476893</v>
      </c>
      <c r="J674" s="40">
        <v>2476893</v>
      </c>
      <c r="K674" s="46">
        <v>-0.05</v>
      </c>
      <c r="L674" s="46">
        <v>0.86</v>
      </c>
      <c r="M674" s="46">
        <v>-37.4</v>
      </c>
      <c r="N674" s="36">
        <v>670</v>
      </c>
      <c r="O674" s="41">
        <v>42998.86791666667</v>
      </c>
    </row>
    <row r="675" spans="2:15" x14ac:dyDescent="0.25">
      <c r="B675" s="36" t="s">
        <v>2759</v>
      </c>
      <c r="C675" s="35" t="s">
        <v>656</v>
      </c>
      <c r="D675" s="36" t="s">
        <v>1704</v>
      </c>
      <c r="E675" s="37">
        <v>1E-8</v>
      </c>
      <c r="F675" s="38">
        <v>3.97143E-5</v>
      </c>
      <c r="G675" s="39">
        <v>6.7546099999999996</v>
      </c>
      <c r="H675" s="39">
        <v>79456</v>
      </c>
      <c r="I675" s="40">
        <v>2000683485</v>
      </c>
      <c r="J675" s="40">
        <v>2000683485</v>
      </c>
      <c r="K675" s="46">
        <v>-0.05</v>
      </c>
      <c r="L675" s="46">
        <v>1.69</v>
      </c>
      <c r="M675" s="46">
        <v>1.92</v>
      </c>
      <c r="N675" s="36">
        <v>671</v>
      </c>
      <c r="O675" s="41">
        <v>42998.867627314816</v>
      </c>
    </row>
    <row r="676" spans="2:15" x14ac:dyDescent="0.25">
      <c r="B676" s="36" t="s">
        <v>2774</v>
      </c>
      <c r="C676" s="35" t="s">
        <v>655</v>
      </c>
      <c r="D676" s="36" t="s">
        <v>1703</v>
      </c>
      <c r="E676" s="37">
        <v>1.4389999999999999E-5</v>
      </c>
      <c r="F676" s="38">
        <v>5.7148900000000002E-2</v>
      </c>
      <c r="G676" s="39">
        <v>27.086400000000001</v>
      </c>
      <c r="H676" s="39">
        <v>79006</v>
      </c>
      <c r="I676" s="40">
        <v>1382456</v>
      </c>
      <c r="J676" s="40">
        <v>1382456</v>
      </c>
      <c r="K676" s="46">
        <v>-0.05</v>
      </c>
      <c r="L676" s="46">
        <v>1.65</v>
      </c>
      <c r="M676" s="46">
        <v>8.3000000000000007</v>
      </c>
      <c r="N676" s="36">
        <v>672</v>
      </c>
      <c r="O676" s="41">
        <v>42998.867685185185</v>
      </c>
    </row>
    <row r="677" spans="2:15" x14ac:dyDescent="0.25">
      <c r="B677" s="36" t="s">
        <v>2769</v>
      </c>
      <c r="C677" s="35" t="s">
        <v>684</v>
      </c>
      <c r="D677" s="36" t="s">
        <v>1730</v>
      </c>
      <c r="E677" s="37">
        <v>1.1999999999999999E-6</v>
      </c>
      <c r="F677" s="38">
        <v>4.7657200000000002E-3</v>
      </c>
      <c r="G677" s="39">
        <v>4.76572</v>
      </c>
      <c r="H677" s="39">
        <v>77694</v>
      </c>
      <c r="I677" s="40">
        <v>16302701</v>
      </c>
      <c r="J677" s="40">
        <v>16302701</v>
      </c>
      <c r="K677" s="46">
        <v>-0.05</v>
      </c>
      <c r="L677" s="46">
        <v>1.5</v>
      </c>
      <c r="M677" s="46">
        <v>-11.56</v>
      </c>
      <c r="N677" s="36">
        <v>673</v>
      </c>
      <c r="O677" s="41">
        <v>42998.867627314816</v>
      </c>
    </row>
    <row r="678" spans="2:15" x14ac:dyDescent="0.25">
      <c r="B678" s="36" t="s">
        <v>2805</v>
      </c>
      <c r="C678" s="35" t="s">
        <v>693</v>
      </c>
      <c r="D678" s="36" t="s">
        <v>1739</v>
      </c>
      <c r="E678" s="37">
        <v>3.0000000000000001E-5</v>
      </c>
      <c r="F678" s="38">
        <v>0.121514</v>
      </c>
      <c r="G678" s="39"/>
      <c r="H678" s="39">
        <v>77398</v>
      </c>
      <c r="I678" s="40">
        <v>636950</v>
      </c>
      <c r="J678" s="40">
        <v>636950</v>
      </c>
      <c r="K678" s="46"/>
      <c r="L678" s="46"/>
      <c r="M678" s="46">
        <v>6.92</v>
      </c>
      <c r="N678" s="36">
        <v>674</v>
      </c>
      <c r="O678" s="41">
        <v>42996.65556712963</v>
      </c>
    </row>
    <row r="679" spans="2:15" x14ac:dyDescent="0.25">
      <c r="B679" s="36" t="s">
        <v>2601</v>
      </c>
      <c r="C679" s="35" t="s">
        <v>646</v>
      </c>
      <c r="D679" s="36" t="s">
        <v>1695</v>
      </c>
      <c r="E679" s="37">
        <v>3.4000000000000001E-6</v>
      </c>
      <c r="F679" s="38">
        <v>1.34936E-2</v>
      </c>
      <c r="G679" s="39">
        <v>127.131</v>
      </c>
      <c r="H679" s="39">
        <v>76941</v>
      </c>
      <c r="I679" s="40">
        <v>5702048</v>
      </c>
      <c r="J679" s="40">
        <v>5702048</v>
      </c>
      <c r="K679" s="46">
        <v>-0.48</v>
      </c>
      <c r="L679" s="46">
        <v>-1.39</v>
      </c>
      <c r="M679" s="46">
        <v>3.69</v>
      </c>
      <c r="N679" s="36">
        <v>675</v>
      </c>
      <c r="O679" s="41">
        <v>42998.867638888885</v>
      </c>
    </row>
    <row r="680" spans="2:15" x14ac:dyDescent="0.25">
      <c r="B680" s="36" t="s">
        <v>2763</v>
      </c>
      <c r="C680" s="35" t="s">
        <v>654</v>
      </c>
      <c r="D680" s="36" t="s">
        <v>1702</v>
      </c>
      <c r="E680" s="37">
        <v>9.7000000000000003E-7</v>
      </c>
      <c r="F680" s="38">
        <v>3.8586900000000001E-3</v>
      </c>
      <c r="G680" s="39">
        <v>44.570599999999999</v>
      </c>
      <c r="H680" s="39">
        <v>75656</v>
      </c>
      <c r="I680" s="40">
        <v>19606720</v>
      </c>
      <c r="J680" s="40">
        <v>19606720</v>
      </c>
      <c r="K680" s="46">
        <v>0.97</v>
      </c>
      <c r="L680" s="46">
        <v>9.07</v>
      </c>
      <c r="M680" s="46">
        <v>-1.79</v>
      </c>
      <c r="N680" s="36">
        <v>676</v>
      </c>
      <c r="O680" s="41">
        <v>42998.867650462962</v>
      </c>
    </row>
    <row r="681" spans="2:15" x14ac:dyDescent="0.25">
      <c r="B681" s="36" t="s">
        <v>2730</v>
      </c>
      <c r="C681" s="35" t="s">
        <v>610</v>
      </c>
      <c r="D681" s="36" t="s">
        <v>1661</v>
      </c>
      <c r="E681" s="37">
        <v>1.1999999999999999E-7</v>
      </c>
      <c r="F681" s="38">
        <v>4.7657199999999998E-4</v>
      </c>
      <c r="G681" s="39">
        <v>98.111699999999999</v>
      </c>
      <c r="H681" s="39">
        <v>74928</v>
      </c>
      <c r="I681" s="40">
        <v>157223250</v>
      </c>
      <c r="J681" s="40">
        <v>157223250</v>
      </c>
      <c r="K681" s="46">
        <v>-7.78</v>
      </c>
      <c r="L681" s="46">
        <v>-5.62</v>
      </c>
      <c r="M681" s="46">
        <v>-11.63</v>
      </c>
      <c r="N681" s="36">
        <v>677</v>
      </c>
      <c r="O681" s="41">
        <v>42998.86791666667</v>
      </c>
    </row>
    <row r="682" spans="2:15" x14ac:dyDescent="0.25">
      <c r="B682" s="36" t="s">
        <v>3252</v>
      </c>
      <c r="C682" s="35" t="s">
        <v>3253</v>
      </c>
      <c r="D682" s="36" t="s">
        <v>3254</v>
      </c>
      <c r="E682" s="37">
        <v>4.8439999999999997E-5</v>
      </c>
      <c r="F682" s="38">
        <v>0.19423099999999999</v>
      </c>
      <c r="G682" s="39"/>
      <c r="H682" s="39">
        <v>74708</v>
      </c>
      <c r="I682" s="40">
        <v>384637</v>
      </c>
      <c r="J682" s="40">
        <v>384637</v>
      </c>
      <c r="K682" s="46"/>
      <c r="L682" s="46">
        <v>2.48</v>
      </c>
      <c r="M682" s="46">
        <v>213.69</v>
      </c>
      <c r="N682" s="36">
        <v>678</v>
      </c>
      <c r="O682" s="41">
        <v>42998.593148148146</v>
      </c>
    </row>
    <row r="683" spans="2:15" x14ac:dyDescent="0.25">
      <c r="B683" s="36" t="s">
        <v>2674</v>
      </c>
      <c r="C683" s="35" t="s">
        <v>568</v>
      </c>
      <c r="D683" s="36" t="s">
        <v>1621</v>
      </c>
      <c r="E683" s="37">
        <v>2.0000000000000001E-10</v>
      </c>
      <c r="F683" s="38">
        <v>7.2900000000000003E-7</v>
      </c>
      <c r="G683" s="39">
        <v>19.555399999999999</v>
      </c>
      <c r="H683" s="39">
        <v>73750</v>
      </c>
      <c r="I683" s="40">
        <v>101168328395</v>
      </c>
      <c r="J683" s="40">
        <v>101168328395</v>
      </c>
      <c r="K683" s="46">
        <v>-0.46</v>
      </c>
      <c r="L683" s="46">
        <v>-87.41</v>
      </c>
      <c r="M683" s="46">
        <v>-92.69</v>
      </c>
      <c r="N683" s="36">
        <v>679</v>
      </c>
      <c r="O683" s="41">
        <v>42998.8674537037</v>
      </c>
    </row>
    <row r="684" spans="2:15" x14ac:dyDescent="0.25">
      <c r="B684" s="36" t="s">
        <v>2720</v>
      </c>
      <c r="C684" s="35" t="s">
        <v>613</v>
      </c>
      <c r="D684" s="36" t="s">
        <v>1664</v>
      </c>
      <c r="E684" s="37">
        <v>7.1999999999999999E-7</v>
      </c>
      <c r="F684" s="38">
        <v>2.85943E-3</v>
      </c>
      <c r="G684" s="39">
        <v>40.516399999999997</v>
      </c>
      <c r="H684" s="39">
        <v>73066</v>
      </c>
      <c r="I684" s="40">
        <v>25552812</v>
      </c>
      <c r="J684" s="40">
        <v>25552812</v>
      </c>
      <c r="K684" s="46">
        <v>-0.05</v>
      </c>
      <c r="L684" s="46">
        <v>-6.3</v>
      </c>
      <c r="M684" s="46">
        <v>-28.76</v>
      </c>
      <c r="N684" s="36">
        <v>680</v>
      </c>
      <c r="O684" s="41">
        <v>42998.867731481485</v>
      </c>
    </row>
    <row r="685" spans="2:15" x14ac:dyDescent="0.25">
      <c r="B685" s="36" t="s">
        <v>2595</v>
      </c>
      <c r="C685" s="35" t="s">
        <v>649</v>
      </c>
      <c r="D685" s="36" t="s">
        <v>1697</v>
      </c>
      <c r="E685" s="37">
        <v>3.6799999999999999E-6</v>
      </c>
      <c r="F685" s="38">
        <v>1.4609E-2</v>
      </c>
      <c r="G685" s="39">
        <v>268.61799999999999</v>
      </c>
      <c r="H685" s="39">
        <v>73045</v>
      </c>
      <c r="I685" s="40">
        <v>5000000</v>
      </c>
      <c r="J685" s="40">
        <v>5000000000</v>
      </c>
      <c r="K685" s="46">
        <v>-5.0999999999999996</v>
      </c>
      <c r="L685" s="46">
        <v>8.8699999999999992</v>
      </c>
      <c r="M685" s="46">
        <v>30.57</v>
      </c>
      <c r="N685" s="36">
        <v>681</v>
      </c>
      <c r="O685" s="41">
        <v>42998.867881944447</v>
      </c>
    </row>
    <row r="686" spans="2:15" x14ac:dyDescent="0.25">
      <c r="B686" s="36" t="s">
        <v>2741</v>
      </c>
      <c r="C686" s="35" t="s">
        <v>639</v>
      </c>
      <c r="D686" s="36" t="s">
        <v>1688</v>
      </c>
      <c r="E686" s="37">
        <v>1.9999999999999999E-6</v>
      </c>
      <c r="F686" s="38">
        <v>7.9428599999999995E-3</v>
      </c>
      <c r="G686" s="39">
        <v>2.4657800000000001</v>
      </c>
      <c r="H686" s="39">
        <v>72333</v>
      </c>
      <c r="I686" s="40">
        <v>9106714</v>
      </c>
      <c r="J686" s="40">
        <v>9106714</v>
      </c>
      <c r="K686" s="46">
        <v>-0.05</v>
      </c>
      <c r="L686" s="46">
        <v>1.4</v>
      </c>
      <c r="M686" s="46">
        <v>-7.0000000000000007E-2</v>
      </c>
      <c r="N686" s="36">
        <v>682</v>
      </c>
      <c r="O686" s="41">
        <v>42998.867754629631</v>
      </c>
    </row>
    <row r="687" spans="2:15" x14ac:dyDescent="0.25">
      <c r="B687" s="36" t="s">
        <v>2779</v>
      </c>
      <c r="C687" s="35" t="s">
        <v>675</v>
      </c>
      <c r="D687" s="36" t="s">
        <v>1722</v>
      </c>
      <c r="E687" s="37">
        <v>4.2799999999999997E-6</v>
      </c>
      <c r="F687" s="38">
        <v>1.6997700000000001E-2</v>
      </c>
      <c r="G687" s="39">
        <v>5.09511</v>
      </c>
      <c r="H687" s="39">
        <v>71878</v>
      </c>
      <c r="I687" s="40">
        <v>4228672</v>
      </c>
      <c r="J687" s="40">
        <v>4228672</v>
      </c>
      <c r="K687" s="46">
        <v>-0.05</v>
      </c>
      <c r="L687" s="46">
        <v>1.51</v>
      </c>
      <c r="M687" s="46">
        <v>-0.28999999999999998</v>
      </c>
      <c r="N687" s="36">
        <v>683</v>
      </c>
      <c r="O687" s="41">
        <v>42998.867673611108</v>
      </c>
    </row>
    <row r="688" spans="2:15" x14ac:dyDescent="0.25">
      <c r="B688" s="36" t="s">
        <v>2725</v>
      </c>
      <c r="C688" s="35" t="s">
        <v>624</v>
      </c>
      <c r="D688" s="36" t="s">
        <v>1248</v>
      </c>
      <c r="E688" s="37">
        <v>3.01E-6</v>
      </c>
      <c r="F688" s="38">
        <v>1.1953999999999999E-2</v>
      </c>
      <c r="G688" s="39">
        <v>75.830799999999996</v>
      </c>
      <c r="H688" s="39">
        <v>71267</v>
      </c>
      <c r="I688" s="40">
        <v>5961750</v>
      </c>
      <c r="J688" s="40">
        <v>5961750</v>
      </c>
      <c r="K688" s="46">
        <v>-0.54</v>
      </c>
      <c r="L688" s="46">
        <v>1.51</v>
      </c>
      <c r="M688" s="46">
        <v>-23.89</v>
      </c>
      <c r="N688" s="36">
        <v>684</v>
      </c>
      <c r="O688" s="41">
        <v>42998.867418981485</v>
      </c>
    </row>
    <row r="689" spans="2:15" x14ac:dyDescent="0.25">
      <c r="B689" s="36" t="s">
        <v>2626</v>
      </c>
      <c r="C689" s="35" t="s">
        <v>510</v>
      </c>
      <c r="D689" s="36" t="s">
        <v>1565</v>
      </c>
      <c r="E689" s="37">
        <v>9.0999999999999997E-7</v>
      </c>
      <c r="F689" s="38">
        <v>3.6254299999999998E-3</v>
      </c>
      <c r="G689" s="39">
        <v>410.80099999999999</v>
      </c>
      <c r="H689" s="39">
        <v>70791</v>
      </c>
      <c r="I689" s="40">
        <v>19526200</v>
      </c>
      <c r="J689" s="40">
        <v>19526200</v>
      </c>
      <c r="K689" s="46">
        <v>0.68</v>
      </c>
      <c r="L689" s="46">
        <v>-10.86</v>
      </c>
      <c r="M689" s="46">
        <v>11.98</v>
      </c>
      <c r="N689" s="36">
        <v>685</v>
      </c>
      <c r="O689" s="41">
        <v>42998.867939814816</v>
      </c>
    </row>
    <row r="690" spans="2:15" x14ac:dyDescent="0.25">
      <c r="B690" s="36" t="s">
        <v>2801</v>
      </c>
      <c r="C690" s="35" t="s">
        <v>696</v>
      </c>
      <c r="D690" s="36" t="s">
        <v>1742</v>
      </c>
      <c r="E690" s="37">
        <v>5.7999999999999995E-7</v>
      </c>
      <c r="F690" s="38">
        <v>2.3256399999999999E-3</v>
      </c>
      <c r="G690" s="39"/>
      <c r="H690" s="39">
        <v>69334</v>
      </c>
      <c r="I690" s="40">
        <v>29812908</v>
      </c>
      <c r="J690" s="40">
        <v>79812908</v>
      </c>
      <c r="K690" s="46"/>
      <c r="L690" s="46">
        <v>2.48</v>
      </c>
      <c r="M690" s="46">
        <v>1.1599999999999999</v>
      </c>
      <c r="N690" s="36">
        <v>686</v>
      </c>
      <c r="O690" s="41">
        <v>42998.593634259261</v>
      </c>
    </row>
    <row r="691" spans="2:15" x14ac:dyDescent="0.25">
      <c r="B691" s="36" t="s">
        <v>2782</v>
      </c>
      <c r="C691" s="35" t="s">
        <v>663</v>
      </c>
      <c r="D691" s="36" t="s">
        <v>1711</v>
      </c>
      <c r="E691" s="37">
        <v>8.9999999999999999E-8</v>
      </c>
      <c r="F691" s="38">
        <v>3.6015899999999998E-4</v>
      </c>
      <c r="G691" s="39">
        <v>20.282599999999999</v>
      </c>
      <c r="H691" s="39">
        <v>68917</v>
      </c>
      <c r="I691" s="40">
        <v>191352328</v>
      </c>
      <c r="J691" s="40">
        <v>191352328</v>
      </c>
      <c r="K691" s="46">
        <v>-12.25</v>
      </c>
      <c r="L691" s="46">
        <v>-7.1</v>
      </c>
      <c r="M691" s="46">
        <v>-1.48</v>
      </c>
      <c r="N691" s="36">
        <v>687</v>
      </c>
      <c r="O691" s="41">
        <v>42998.867488425924</v>
      </c>
    </row>
    <row r="692" spans="2:15" x14ac:dyDescent="0.25">
      <c r="B692" s="36" t="s">
        <v>2808</v>
      </c>
      <c r="C692" s="35" t="s">
        <v>701</v>
      </c>
      <c r="D692" s="36" t="s">
        <v>1747</v>
      </c>
      <c r="E692" s="37">
        <v>1.1219999999999999E-5</v>
      </c>
      <c r="F692" s="38">
        <v>4.5163399999999999E-2</v>
      </c>
      <c r="G692" s="39"/>
      <c r="H692" s="39">
        <v>68364</v>
      </c>
      <c r="I692" s="40">
        <v>1513704</v>
      </c>
      <c r="J692" s="40">
        <v>1513704</v>
      </c>
      <c r="K692" s="46"/>
      <c r="L692" s="46">
        <v>2.88</v>
      </c>
      <c r="M692" s="46">
        <v>32.81</v>
      </c>
      <c r="N692" s="36">
        <v>688</v>
      </c>
      <c r="O692" s="41">
        <v>42998.61755787037</v>
      </c>
    </row>
    <row r="693" spans="2:15" x14ac:dyDescent="0.25">
      <c r="B693" s="36" t="s">
        <v>2694</v>
      </c>
      <c r="C693" s="35" t="s">
        <v>588</v>
      </c>
      <c r="D693" s="36" t="s">
        <v>1419</v>
      </c>
      <c r="E693" s="37">
        <v>2.1E-7</v>
      </c>
      <c r="F693" s="38">
        <v>8.34E-4</v>
      </c>
      <c r="G693" s="39">
        <v>118.29900000000001</v>
      </c>
      <c r="H693" s="39">
        <v>68098</v>
      </c>
      <c r="I693" s="40">
        <v>81652784</v>
      </c>
      <c r="J693" s="40">
        <v>81652784</v>
      </c>
      <c r="K693" s="46">
        <v>-0.05</v>
      </c>
      <c r="L693" s="46">
        <v>1.51</v>
      </c>
      <c r="M693" s="46">
        <v>-60.94</v>
      </c>
      <c r="N693" s="36">
        <v>689</v>
      </c>
      <c r="O693" s="41">
        <v>42998.867638888885</v>
      </c>
    </row>
    <row r="694" spans="2:15" x14ac:dyDescent="0.25">
      <c r="B694" s="36" t="s">
        <v>2515</v>
      </c>
      <c r="C694" s="35" t="s">
        <v>405</v>
      </c>
      <c r="D694" s="36" t="s">
        <v>1463</v>
      </c>
      <c r="E694" s="37">
        <v>1.0499999999999999E-6</v>
      </c>
      <c r="F694" s="38">
        <v>4.1700000000000001E-3</v>
      </c>
      <c r="G694" s="39">
        <v>6.9102899999999998</v>
      </c>
      <c r="H694" s="39">
        <v>67182</v>
      </c>
      <c r="I694" s="40">
        <v>16110893</v>
      </c>
      <c r="J694" s="40">
        <v>16110893</v>
      </c>
      <c r="K694" s="46">
        <v>-0.05</v>
      </c>
      <c r="L694" s="46">
        <v>1.5</v>
      </c>
      <c r="M694" s="46">
        <v>-43.38</v>
      </c>
      <c r="N694" s="36">
        <v>690</v>
      </c>
      <c r="O694" s="41">
        <v>42998.867800925924</v>
      </c>
    </row>
    <row r="695" spans="2:15" x14ac:dyDescent="0.25">
      <c r="B695" s="36" t="s">
        <v>2748</v>
      </c>
      <c r="C695" s="35" t="s">
        <v>637</v>
      </c>
      <c r="D695" s="36" t="s">
        <v>1686</v>
      </c>
      <c r="E695" s="37">
        <v>7.8999999999999995E-7</v>
      </c>
      <c r="F695" s="38">
        <v>3.1447200000000002E-3</v>
      </c>
      <c r="G695" s="39">
        <v>5.7216100000000001</v>
      </c>
      <c r="H695" s="39">
        <v>66103</v>
      </c>
      <c r="I695" s="40">
        <v>21020383</v>
      </c>
      <c r="J695" s="40">
        <v>21020383</v>
      </c>
      <c r="K695" s="46">
        <v>-4.8600000000000003</v>
      </c>
      <c r="L695" s="46">
        <v>4.53</v>
      </c>
      <c r="M695" s="46">
        <v>-13.01</v>
      </c>
      <c r="N695" s="36">
        <v>691</v>
      </c>
      <c r="O695" s="41">
        <v>42998.867696759262</v>
      </c>
    </row>
    <row r="696" spans="2:15" x14ac:dyDescent="0.25">
      <c r="B696" s="36" t="s">
        <v>2561</v>
      </c>
      <c r="C696" s="35" t="s">
        <v>466</v>
      </c>
      <c r="D696" s="36" t="s">
        <v>1520</v>
      </c>
      <c r="E696" s="37">
        <v>3.9099999999999998E-6</v>
      </c>
      <c r="F696" s="38">
        <v>1.5522599999999999E-2</v>
      </c>
      <c r="G696" s="39">
        <v>29.024100000000001</v>
      </c>
      <c r="H696" s="39">
        <v>65119</v>
      </c>
      <c r="I696" s="40">
        <v>4195132</v>
      </c>
      <c r="J696" s="40">
        <v>4195132</v>
      </c>
      <c r="K696" s="46">
        <v>-1.94</v>
      </c>
      <c r="L696" s="46">
        <v>3.1</v>
      </c>
      <c r="M696" s="46">
        <v>-28.78</v>
      </c>
      <c r="N696" s="36">
        <v>692</v>
      </c>
      <c r="O696" s="41">
        <v>42998.867465277777</v>
      </c>
    </row>
    <row r="697" spans="2:15" x14ac:dyDescent="0.25">
      <c r="B697" s="36" t="s">
        <v>2772</v>
      </c>
      <c r="C697" s="35" t="s">
        <v>682</v>
      </c>
      <c r="D697" s="36" t="s">
        <v>1728</v>
      </c>
      <c r="E697" s="37">
        <v>6.4000000000000001E-7</v>
      </c>
      <c r="F697" s="38">
        <v>2.54171E-3</v>
      </c>
      <c r="G697" s="39">
        <v>195.00399999999999</v>
      </c>
      <c r="H697" s="39">
        <v>63368</v>
      </c>
      <c r="I697" s="40">
        <v>24931054</v>
      </c>
      <c r="J697" s="40">
        <v>210000000</v>
      </c>
      <c r="K697" s="46">
        <v>7.83</v>
      </c>
      <c r="L697" s="46">
        <v>13.96</v>
      </c>
      <c r="M697" s="46">
        <v>7.73</v>
      </c>
      <c r="N697" s="36">
        <v>693</v>
      </c>
      <c r="O697" s="41">
        <v>42998.867662037039</v>
      </c>
    </row>
    <row r="698" spans="2:15" x14ac:dyDescent="0.25">
      <c r="B698" s="36" t="s">
        <v>2620</v>
      </c>
      <c r="C698" s="35" t="s">
        <v>687</v>
      </c>
      <c r="D698" s="36" t="s">
        <v>1733</v>
      </c>
      <c r="E698" s="37">
        <v>9.7999999999999993E-6</v>
      </c>
      <c r="F698" s="38">
        <v>3.8920000000000003E-2</v>
      </c>
      <c r="G698" s="39">
        <v>78.773899999999998</v>
      </c>
      <c r="H698" s="39">
        <v>63333</v>
      </c>
      <c r="I698" s="40">
        <v>1627261</v>
      </c>
      <c r="J698" s="40">
        <v>1627261</v>
      </c>
      <c r="K698" s="46">
        <v>-0.05</v>
      </c>
      <c r="L698" s="46">
        <v>7.0000000000000007E-2</v>
      </c>
      <c r="M698" s="46">
        <v>3.37</v>
      </c>
      <c r="N698" s="36">
        <v>694</v>
      </c>
      <c r="O698" s="41">
        <v>42998.867777777778</v>
      </c>
    </row>
    <row r="699" spans="2:15" x14ac:dyDescent="0.25">
      <c r="B699" s="36" t="s">
        <v>2777</v>
      </c>
      <c r="C699" s="35" t="s">
        <v>699</v>
      </c>
      <c r="D699" s="36" t="s">
        <v>1745</v>
      </c>
      <c r="E699" s="37">
        <v>1.28E-6</v>
      </c>
      <c r="F699" s="38">
        <v>5.0997300000000002E-3</v>
      </c>
      <c r="G699" s="39">
        <v>261.86799999999999</v>
      </c>
      <c r="H699" s="39">
        <v>63160</v>
      </c>
      <c r="I699" s="40">
        <v>12384976</v>
      </c>
      <c r="J699" s="40">
        <v>12384976</v>
      </c>
      <c r="K699" s="46">
        <v>-0.18</v>
      </c>
      <c r="L699" s="46">
        <v>-6.24</v>
      </c>
      <c r="M699" s="46">
        <v>6.27</v>
      </c>
      <c r="N699" s="36">
        <v>695</v>
      </c>
      <c r="O699" s="41">
        <v>42998.867569444446</v>
      </c>
    </row>
    <row r="700" spans="2:15" x14ac:dyDescent="0.25">
      <c r="B700" s="36" t="s">
        <v>2810</v>
      </c>
      <c r="C700" s="35" t="s">
        <v>706</v>
      </c>
      <c r="D700" s="36" t="s">
        <v>1751</v>
      </c>
      <c r="E700" s="37">
        <v>3.05E-6</v>
      </c>
      <c r="F700" s="38">
        <v>1.2112899999999999E-2</v>
      </c>
      <c r="G700" s="39">
        <v>25.877600000000001</v>
      </c>
      <c r="H700" s="39">
        <v>62933</v>
      </c>
      <c r="I700" s="40">
        <v>5195530</v>
      </c>
      <c r="J700" s="40">
        <v>5694130</v>
      </c>
      <c r="K700" s="46">
        <v>-0.05</v>
      </c>
      <c r="L700" s="46">
        <v>59.09</v>
      </c>
      <c r="M700" s="46">
        <v>25.81</v>
      </c>
      <c r="N700" s="36">
        <v>696</v>
      </c>
      <c r="O700" s="41">
        <v>42998.867939814816</v>
      </c>
    </row>
    <row r="701" spans="2:15" x14ac:dyDescent="0.25">
      <c r="B701" s="36" t="s">
        <v>2800</v>
      </c>
      <c r="C701" s="35" t="s">
        <v>695</v>
      </c>
      <c r="D701" s="36" t="s">
        <v>1741</v>
      </c>
      <c r="E701" s="37">
        <v>1.4000000000000001E-7</v>
      </c>
      <c r="F701" s="38">
        <v>5.4056600000000003E-4</v>
      </c>
      <c r="G701" s="39">
        <v>151.15299999999999</v>
      </c>
      <c r="H701" s="39">
        <v>62435</v>
      </c>
      <c r="I701" s="40">
        <v>115499623</v>
      </c>
      <c r="J701" s="40">
        <v>393459356</v>
      </c>
      <c r="K701" s="46">
        <v>4.05</v>
      </c>
      <c r="L701" s="46">
        <v>16.399999999999999</v>
      </c>
      <c r="M701" s="46">
        <v>-13.18</v>
      </c>
      <c r="N701" s="36">
        <v>697</v>
      </c>
      <c r="O701" s="41">
        <v>42998.867650462962</v>
      </c>
    </row>
    <row r="702" spans="2:15" x14ac:dyDescent="0.25">
      <c r="B702" s="36" t="s">
        <v>2743</v>
      </c>
      <c r="C702" s="35" t="s">
        <v>631</v>
      </c>
      <c r="D702" s="36" t="s">
        <v>1680</v>
      </c>
      <c r="E702" s="37">
        <v>1.37E-6</v>
      </c>
      <c r="F702" s="38">
        <v>5.4061100000000004E-3</v>
      </c>
      <c r="G702" s="39"/>
      <c r="H702" s="39">
        <v>62319</v>
      </c>
      <c r="I702" s="40">
        <v>11527489</v>
      </c>
      <c r="J702" s="40">
        <v>911527489</v>
      </c>
      <c r="K702" s="46"/>
      <c r="L702" s="46">
        <v>0.86</v>
      </c>
      <c r="M702" s="46">
        <v>54.56</v>
      </c>
      <c r="N702" s="36">
        <v>698</v>
      </c>
      <c r="O702" s="41">
        <v>42998.378078703703</v>
      </c>
    </row>
    <row r="703" spans="2:15" x14ac:dyDescent="0.25">
      <c r="B703" s="36" t="s">
        <v>2616</v>
      </c>
      <c r="C703" s="35" t="s">
        <v>659</v>
      </c>
      <c r="D703" s="36" t="s">
        <v>1707</v>
      </c>
      <c r="E703" s="37">
        <v>1.1000000000000001E-7</v>
      </c>
      <c r="F703" s="42">
        <v>4.3685700000000002E-4</v>
      </c>
      <c r="G703" s="39">
        <v>51.168100000000003</v>
      </c>
      <c r="H703" s="39">
        <v>61275</v>
      </c>
      <c r="I703" s="40">
        <v>140262505</v>
      </c>
      <c r="J703" s="40">
        <v>140262505</v>
      </c>
      <c r="K703" s="46">
        <v>-0.05</v>
      </c>
      <c r="L703" s="46">
        <v>2.06</v>
      </c>
      <c r="M703" s="46">
        <v>-8.58</v>
      </c>
      <c r="N703" s="36">
        <v>699</v>
      </c>
      <c r="O703" s="41">
        <v>42998.867511574077</v>
      </c>
    </row>
    <row r="704" spans="2:15" x14ac:dyDescent="0.25">
      <c r="B704" s="36" t="s">
        <v>2817</v>
      </c>
      <c r="C704" s="35" t="s">
        <v>710</v>
      </c>
      <c r="D704" s="36" t="s">
        <v>1755</v>
      </c>
      <c r="E704" s="37">
        <v>1.0010000000000001E-5</v>
      </c>
      <c r="F704" s="38">
        <v>3.9753999999999998E-2</v>
      </c>
      <c r="G704" s="39">
        <v>56.633000000000003</v>
      </c>
      <c r="H704" s="39">
        <v>61272</v>
      </c>
      <c r="I704" s="40">
        <v>1541287</v>
      </c>
      <c r="J704" s="40">
        <v>1541287</v>
      </c>
      <c r="K704" s="46">
        <v>-0.05</v>
      </c>
      <c r="L704" s="46">
        <v>1.58</v>
      </c>
      <c r="M704" s="46">
        <v>33.880000000000003</v>
      </c>
      <c r="N704" s="36">
        <v>700</v>
      </c>
      <c r="O704" s="41">
        <v>42998.867881944447</v>
      </c>
    </row>
    <row r="705" spans="2:15" x14ac:dyDescent="0.25">
      <c r="B705" s="36" t="s">
        <v>2884</v>
      </c>
      <c r="C705" s="35" t="s">
        <v>780</v>
      </c>
      <c r="D705" s="36" t="s">
        <v>1821</v>
      </c>
      <c r="E705" s="37">
        <v>1.35E-6</v>
      </c>
      <c r="F705" s="38">
        <v>5.3614300000000004E-3</v>
      </c>
      <c r="G705" s="39">
        <v>218.03399999999999</v>
      </c>
      <c r="H705" s="39">
        <v>60338</v>
      </c>
      <c r="I705" s="40">
        <v>11254140</v>
      </c>
      <c r="J705" s="40">
        <v>11254140</v>
      </c>
      <c r="K705" s="46">
        <v>-0.05</v>
      </c>
      <c r="L705" s="46">
        <v>14.16</v>
      </c>
      <c r="M705" s="46">
        <v>19.64</v>
      </c>
      <c r="N705" s="36">
        <v>701</v>
      </c>
      <c r="O705" s="41">
        <v>42998.867592592593</v>
      </c>
    </row>
    <row r="706" spans="2:15" x14ac:dyDescent="0.25">
      <c r="B706" s="36" t="s">
        <v>2608</v>
      </c>
      <c r="C706" s="35" t="s">
        <v>483</v>
      </c>
      <c r="D706" s="36" t="s">
        <v>1538</v>
      </c>
      <c r="E706" s="37">
        <v>1.15E-6</v>
      </c>
      <c r="F706" s="38">
        <v>4.5671399999999999E-3</v>
      </c>
      <c r="G706" s="39">
        <v>189.06200000000001</v>
      </c>
      <c r="H706" s="39">
        <v>59941</v>
      </c>
      <c r="I706" s="40">
        <v>13124400</v>
      </c>
      <c r="J706" s="40">
        <v>793124400</v>
      </c>
      <c r="K706" s="46">
        <v>-6.06</v>
      </c>
      <c r="L706" s="46">
        <v>10.119999999999999</v>
      </c>
      <c r="M706" s="46">
        <v>-35.909999999999997</v>
      </c>
      <c r="N706" s="36">
        <v>702</v>
      </c>
      <c r="O706" s="41">
        <v>42998.867858796293</v>
      </c>
    </row>
    <row r="707" spans="2:15" x14ac:dyDescent="0.25">
      <c r="B707" s="36" t="s">
        <v>2816</v>
      </c>
      <c r="C707" s="35" t="s">
        <v>697</v>
      </c>
      <c r="D707" s="36" t="s">
        <v>1743</v>
      </c>
      <c r="E707" s="37">
        <v>8.5000000000000001E-7</v>
      </c>
      <c r="F707" s="38">
        <v>3.37572E-3</v>
      </c>
      <c r="G707" s="39">
        <v>21.367999999999999</v>
      </c>
      <c r="H707" s="39">
        <v>58957</v>
      </c>
      <c r="I707" s="40">
        <v>17465159</v>
      </c>
      <c r="J707" s="40">
        <v>17465159</v>
      </c>
      <c r="K707" s="46">
        <v>-1.21</v>
      </c>
      <c r="L707" s="46">
        <v>-21.56</v>
      </c>
      <c r="M707" s="46">
        <v>10.81</v>
      </c>
      <c r="N707" s="36">
        <v>703</v>
      </c>
      <c r="O707" s="41">
        <v>42998.867685185185</v>
      </c>
    </row>
    <row r="708" spans="2:15" x14ac:dyDescent="0.25">
      <c r="B708" s="36" t="s">
        <v>2739</v>
      </c>
      <c r="C708" s="35" t="s">
        <v>650</v>
      </c>
      <c r="D708" s="36" t="s">
        <v>1698</v>
      </c>
      <c r="E708" s="37">
        <v>2.0999999999999998E-6</v>
      </c>
      <c r="F708" s="38">
        <v>8.3212500000000005E-3</v>
      </c>
      <c r="G708" s="39">
        <v>48.437600000000003</v>
      </c>
      <c r="H708" s="39">
        <v>58945</v>
      </c>
      <c r="I708" s="40">
        <v>7083674</v>
      </c>
      <c r="J708" s="40">
        <v>7083674</v>
      </c>
      <c r="K708" s="46">
        <v>-6.26</v>
      </c>
      <c r="L708" s="46">
        <v>-4.7300000000000004</v>
      </c>
      <c r="M708" s="46">
        <v>0.38</v>
      </c>
      <c r="N708" s="36">
        <v>704</v>
      </c>
      <c r="O708" s="41">
        <v>42998.867534722223</v>
      </c>
    </row>
    <row r="709" spans="2:15" x14ac:dyDescent="0.25">
      <c r="B709" s="36" t="s">
        <v>2794</v>
      </c>
      <c r="C709" s="35" t="s">
        <v>673</v>
      </c>
      <c r="D709" s="36" t="s">
        <v>1720</v>
      </c>
      <c r="E709" s="37">
        <v>6.6000000000000003E-7</v>
      </c>
      <c r="F709" s="38">
        <v>2.6211400000000001E-3</v>
      </c>
      <c r="G709" s="39">
        <v>30.6142</v>
      </c>
      <c r="H709" s="39">
        <v>58729</v>
      </c>
      <c r="I709" s="40">
        <v>22406021</v>
      </c>
      <c r="J709" s="40">
        <v>22406021</v>
      </c>
      <c r="K709" s="46">
        <v>-0.05</v>
      </c>
      <c r="L709" s="46">
        <v>-0.97</v>
      </c>
      <c r="M709" s="46">
        <v>-4.76</v>
      </c>
      <c r="N709" s="36">
        <v>705</v>
      </c>
      <c r="O709" s="41">
        <v>42998.867395833331</v>
      </c>
    </row>
    <row r="710" spans="2:15" x14ac:dyDescent="0.25">
      <c r="B710" s="36" t="s">
        <v>2771</v>
      </c>
      <c r="C710" s="35" t="s">
        <v>494</v>
      </c>
      <c r="D710" s="36" t="s">
        <v>1549</v>
      </c>
      <c r="E710" s="37">
        <v>1.7799999999999999E-6</v>
      </c>
      <c r="F710" s="38">
        <v>7.0691399999999998E-3</v>
      </c>
      <c r="G710" s="39">
        <v>240.161</v>
      </c>
      <c r="H710" s="39">
        <v>57204</v>
      </c>
      <c r="I710" s="40">
        <v>8092011</v>
      </c>
      <c r="J710" s="40">
        <v>8092011</v>
      </c>
      <c r="K710" s="46">
        <v>-0.05</v>
      </c>
      <c r="L710" s="46">
        <v>29.89</v>
      </c>
      <c r="M710" s="46">
        <v>46.87</v>
      </c>
      <c r="N710" s="36">
        <v>706</v>
      </c>
      <c r="O710" s="41">
        <v>42998.867407407408</v>
      </c>
    </row>
    <row r="711" spans="2:15" x14ac:dyDescent="0.25">
      <c r="B711" s="36" t="s">
        <v>2761</v>
      </c>
      <c r="C711" s="35" t="s">
        <v>657</v>
      </c>
      <c r="D711" s="36" t="s">
        <v>1705</v>
      </c>
      <c r="E711" s="37">
        <v>1.9000000000000001E-7</v>
      </c>
      <c r="F711" s="38">
        <v>7.5496799999999996E-4</v>
      </c>
      <c r="G711" s="39">
        <v>120.3</v>
      </c>
      <c r="H711" s="39">
        <v>55949</v>
      </c>
      <c r="I711" s="40">
        <v>74107896</v>
      </c>
      <c r="J711" s="40">
        <v>74107896</v>
      </c>
      <c r="K711" s="46">
        <v>-7.0000000000000007E-2</v>
      </c>
      <c r="L711" s="46">
        <v>14.74</v>
      </c>
      <c r="M711" s="46">
        <v>-20.88</v>
      </c>
      <c r="N711" s="36">
        <v>707</v>
      </c>
      <c r="O711" s="41">
        <v>42998.867442129631</v>
      </c>
    </row>
    <row r="712" spans="2:15" x14ac:dyDescent="0.25">
      <c r="B712" s="36" t="s">
        <v>2770</v>
      </c>
      <c r="C712" s="35" t="s">
        <v>487</v>
      </c>
      <c r="D712" s="36" t="s">
        <v>1542</v>
      </c>
      <c r="E712" s="37">
        <v>6.0999999999999998E-7</v>
      </c>
      <c r="F712" s="38">
        <v>2.4225700000000002E-3</v>
      </c>
      <c r="G712" s="39">
        <v>14.381399999999999</v>
      </c>
      <c r="H712" s="39">
        <v>55822</v>
      </c>
      <c r="I712" s="40">
        <v>23042604</v>
      </c>
      <c r="J712" s="40">
        <v>23042604</v>
      </c>
      <c r="K712" s="46">
        <v>-0.18</v>
      </c>
      <c r="L712" s="46">
        <v>-3.49</v>
      </c>
      <c r="M712" s="46">
        <v>-42.02</v>
      </c>
      <c r="N712" s="36">
        <v>708</v>
      </c>
      <c r="O712" s="41">
        <v>42998.867546296293</v>
      </c>
    </row>
    <row r="713" spans="2:15" x14ac:dyDescent="0.25">
      <c r="B713" s="36" t="s">
        <v>2606</v>
      </c>
      <c r="C713" s="35" t="s">
        <v>491</v>
      </c>
      <c r="D713" s="36" t="s">
        <v>1546</v>
      </c>
      <c r="E713" s="37">
        <v>1.6199999999999999E-6</v>
      </c>
      <c r="F713" s="38">
        <v>6.4454100000000004E-3</v>
      </c>
      <c r="G713" s="39">
        <v>83.622900000000001</v>
      </c>
      <c r="H713" s="39">
        <v>55580</v>
      </c>
      <c r="I713" s="40">
        <v>8623200</v>
      </c>
      <c r="J713" s="40">
        <v>10123200</v>
      </c>
      <c r="K713" s="46">
        <v>-1.08</v>
      </c>
      <c r="L713" s="46">
        <v>-10.6</v>
      </c>
      <c r="M713" s="46">
        <v>-1.27</v>
      </c>
      <c r="N713" s="36">
        <v>709</v>
      </c>
      <c r="O713" s="41">
        <v>42998.867893518516</v>
      </c>
    </row>
    <row r="714" spans="2:15" x14ac:dyDescent="0.25">
      <c r="B714" s="36" t="s">
        <v>2753</v>
      </c>
      <c r="C714" s="35" t="s">
        <v>661</v>
      </c>
      <c r="D714" s="36" t="s">
        <v>1709</v>
      </c>
      <c r="E714" s="37">
        <v>6.1999999999999999E-7</v>
      </c>
      <c r="F714" s="38">
        <v>2.4622699999999999E-3</v>
      </c>
      <c r="G714" s="39">
        <v>5.6039399999999997</v>
      </c>
      <c r="H714" s="39">
        <v>54793</v>
      </c>
      <c r="I714" s="40">
        <v>22253222</v>
      </c>
      <c r="J714" s="40">
        <v>22253222</v>
      </c>
      <c r="K714" s="46">
        <v>-0.05</v>
      </c>
      <c r="L714" s="46">
        <v>-6.07</v>
      </c>
      <c r="M714" s="46">
        <v>-3.36</v>
      </c>
      <c r="N714" s="36">
        <v>710</v>
      </c>
      <c r="O714" s="41">
        <v>42998.867685185185</v>
      </c>
    </row>
    <row r="715" spans="2:15" x14ac:dyDescent="0.25">
      <c r="B715" s="36" t="s">
        <v>2783</v>
      </c>
      <c r="C715" s="35" t="s">
        <v>674</v>
      </c>
      <c r="D715" s="36" t="s">
        <v>1721</v>
      </c>
      <c r="E715" s="37">
        <v>1.736E-5</v>
      </c>
      <c r="F715" s="38">
        <v>6.8944000000000005E-2</v>
      </c>
      <c r="G715" s="39">
        <v>56.534599999999998</v>
      </c>
      <c r="H715" s="39">
        <v>54680</v>
      </c>
      <c r="I715" s="40">
        <v>793108</v>
      </c>
      <c r="J715" s="40">
        <v>7093108</v>
      </c>
      <c r="K715" s="46">
        <v>-0.05</v>
      </c>
      <c r="L715" s="46">
        <v>-4.03</v>
      </c>
      <c r="M715" s="46">
        <v>-32.979999999999997</v>
      </c>
      <c r="N715" s="36">
        <v>711</v>
      </c>
      <c r="O715" s="41">
        <v>42998.867685185185</v>
      </c>
    </row>
    <row r="716" spans="2:15" x14ac:dyDescent="0.25">
      <c r="B716" s="36" t="s">
        <v>2847</v>
      </c>
      <c r="C716" s="35" t="s">
        <v>736</v>
      </c>
      <c r="D716" s="36" t="s">
        <v>1780</v>
      </c>
      <c r="E716" s="37">
        <v>1.9599999999999999E-6</v>
      </c>
      <c r="F716" s="38">
        <v>7.7840000000000001E-3</v>
      </c>
      <c r="G716" s="39">
        <v>18.099799999999998</v>
      </c>
      <c r="H716" s="39">
        <v>54678</v>
      </c>
      <c r="I716" s="40">
        <v>7024402</v>
      </c>
      <c r="J716" s="40">
        <v>7024402</v>
      </c>
      <c r="K716" s="46"/>
      <c r="L716" s="46"/>
      <c r="M716" s="46">
        <v>-16.760000000000002</v>
      </c>
      <c r="N716" s="36">
        <v>712</v>
      </c>
      <c r="O716" s="41">
        <v>42998.867858796293</v>
      </c>
    </row>
    <row r="717" spans="2:15" x14ac:dyDescent="0.25">
      <c r="B717" s="36" t="s">
        <v>2625</v>
      </c>
      <c r="C717" s="35" t="s">
        <v>803</v>
      </c>
      <c r="D717" s="36" t="s">
        <v>1843</v>
      </c>
      <c r="E717" s="37">
        <v>2.6900000000000001E-6</v>
      </c>
      <c r="F717" s="38">
        <v>1.0683099999999999E-2</v>
      </c>
      <c r="G717" s="39">
        <v>175.655</v>
      </c>
      <c r="H717" s="39">
        <v>53713</v>
      </c>
      <c r="I717" s="40">
        <v>5027857</v>
      </c>
      <c r="J717" s="40">
        <v>255027857</v>
      </c>
      <c r="K717" s="46">
        <v>-0.05</v>
      </c>
      <c r="L717" s="46"/>
      <c r="M717" s="46">
        <v>50.94</v>
      </c>
      <c r="N717" s="36">
        <v>713</v>
      </c>
      <c r="O717" s="41">
        <v>42998.86787037037</v>
      </c>
    </row>
    <row r="718" spans="2:15" x14ac:dyDescent="0.25">
      <c r="B718" s="36" t="s">
        <v>2756</v>
      </c>
      <c r="C718" s="35" t="s">
        <v>498</v>
      </c>
      <c r="D718" s="36" t="s">
        <v>1553</v>
      </c>
      <c r="E718" s="37">
        <v>4.7999999999999996E-7</v>
      </c>
      <c r="F718" s="38">
        <v>1.89427E-3</v>
      </c>
      <c r="G718" s="39">
        <v>72.674199999999999</v>
      </c>
      <c r="H718" s="39">
        <v>53568</v>
      </c>
      <c r="I718" s="40">
        <v>28279074</v>
      </c>
      <c r="J718" s="40">
        <v>28279074</v>
      </c>
      <c r="K718" s="46">
        <v>-1.99</v>
      </c>
      <c r="L718" s="46">
        <v>0.87</v>
      </c>
      <c r="M718" s="46">
        <v>-1.05</v>
      </c>
      <c r="N718" s="36">
        <v>714</v>
      </c>
      <c r="O718" s="41">
        <v>42998.867442129631</v>
      </c>
    </row>
    <row r="719" spans="2:15" x14ac:dyDescent="0.25">
      <c r="B719" s="36" t="s">
        <v>2600</v>
      </c>
      <c r="C719" s="35" t="s">
        <v>506</v>
      </c>
      <c r="D719" s="36" t="s">
        <v>1561</v>
      </c>
      <c r="E719" s="37">
        <v>1E-8</v>
      </c>
      <c r="F719" s="38">
        <v>4.1927700000000002E-5</v>
      </c>
      <c r="G719" s="39">
        <v>400.12700000000001</v>
      </c>
      <c r="H719" s="39">
        <v>52487</v>
      </c>
      <c r="I719" s="40">
        <v>1251855418</v>
      </c>
      <c r="J719" s="40">
        <v>1251855418</v>
      </c>
      <c r="K719" s="46">
        <v>-0.09</v>
      </c>
      <c r="L719" s="46">
        <v>-48.27</v>
      </c>
      <c r="M719" s="46">
        <v>-42.37</v>
      </c>
      <c r="N719" s="36">
        <v>715</v>
      </c>
      <c r="O719" s="41">
        <v>42998.867442129631</v>
      </c>
    </row>
    <row r="720" spans="2:15" x14ac:dyDescent="0.25">
      <c r="B720" s="36" t="s">
        <v>2797</v>
      </c>
      <c r="C720" s="35" t="s">
        <v>702</v>
      </c>
      <c r="D720" s="36" t="s">
        <v>1748</v>
      </c>
      <c r="E720" s="37">
        <v>5.1900000000000003E-6</v>
      </c>
      <c r="F720" s="38">
        <v>2.05942E-2</v>
      </c>
      <c r="G720" s="39">
        <v>33.261699999999998</v>
      </c>
      <c r="H720" s="39">
        <v>50852</v>
      </c>
      <c r="I720" s="40">
        <v>2469220</v>
      </c>
      <c r="J720" s="40">
        <v>2469220</v>
      </c>
      <c r="K720" s="46">
        <v>-0.04</v>
      </c>
      <c r="L720" s="46">
        <v>2.4300000000000002</v>
      </c>
      <c r="M720" s="46">
        <v>-3.85</v>
      </c>
      <c r="N720" s="36">
        <v>716</v>
      </c>
      <c r="O720" s="41">
        <v>42998.86791666667</v>
      </c>
    </row>
    <row r="721" spans="2:15" x14ac:dyDescent="0.25">
      <c r="B721" s="36" t="s">
        <v>2767</v>
      </c>
      <c r="C721" s="35" t="s">
        <v>676</v>
      </c>
      <c r="D721" s="36" t="s">
        <v>1723</v>
      </c>
      <c r="E721" s="37">
        <v>1.5600000000000001E-6</v>
      </c>
      <c r="F721" s="38">
        <v>6.1834899999999998E-3</v>
      </c>
      <c r="G721" s="39">
        <v>32.771999999999998</v>
      </c>
      <c r="H721" s="39">
        <v>50303</v>
      </c>
      <c r="I721" s="40">
        <v>8135125</v>
      </c>
      <c r="J721" s="40">
        <v>8135125</v>
      </c>
      <c r="K721" s="46">
        <v>0.41</v>
      </c>
      <c r="L721" s="46">
        <v>1.96</v>
      </c>
      <c r="M721" s="46">
        <v>0.45</v>
      </c>
      <c r="N721" s="36">
        <v>717</v>
      </c>
      <c r="O721" s="41">
        <v>42998.867395833331</v>
      </c>
    </row>
    <row r="722" spans="2:15" x14ac:dyDescent="0.25">
      <c r="B722" s="36" t="s">
        <v>2859</v>
      </c>
      <c r="C722" s="35" t="s">
        <v>750</v>
      </c>
      <c r="D722" s="36" t="s">
        <v>1794</v>
      </c>
      <c r="E722" s="37">
        <v>2E-8</v>
      </c>
      <c r="F722" s="38">
        <v>7.94286E-5</v>
      </c>
      <c r="G722" s="39">
        <v>82.765799999999999</v>
      </c>
      <c r="H722" s="39">
        <v>50103</v>
      </c>
      <c r="I722" s="40">
        <v>630795971</v>
      </c>
      <c r="J722" s="40">
        <v>630795971</v>
      </c>
      <c r="K722" s="46">
        <v>-0.05</v>
      </c>
      <c r="L722" s="46">
        <v>103</v>
      </c>
      <c r="M722" s="46">
        <v>8.2200000000000006</v>
      </c>
      <c r="N722" s="36">
        <v>718</v>
      </c>
      <c r="O722" s="41">
        <v>42998.867789351854</v>
      </c>
    </row>
    <row r="723" spans="2:15" x14ac:dyDescent="0.25">
      <c r="B723" s="36" t="s">
        <v>2598</v>
      </c>
      <c r="C723" s="35" t="s">
        <v>505</v>
      </c>
      <c r="D723" s="36" t="s">
        <v>1560</v>
      </c>
      <c r="E723" s="37">
        <v>3.0699999999999998E-6</v>
      </c>
      <c r="F723" s="38">
        <v>1.2198000000000001E-2</v>
      </c>
      <c r="G723" s="39">
        <v>81.570099999999996</v>
      </c>
      <c r="H723" s="39">
        <v>49866</v>
      </c>
      <c r="I723" s="40">
        <v>4088047</v>
      </c>
      <c r="J723" s="40">
        <v>7033735</v>
      </c>
      <c r="K723" s="46">
        <v>-0.18</v>
      </c>
      <c r="L723" s="46">
        <v>-2.21</v>
      </c>
      <c r="M723" s="46">
        <v>-10.78</v>
      </c>
      <c r="N723" s="36">
        <v>719</v>
      </c>
      <c r="O723" s="41">
        <v>42998.86755787037</v>
      </c>
    </row>
    <row r="724" spans="2:15" x14ac:dyDescent="0.25">
      <c r="B724" s="36" t="s">
        <v>2766</v>
      </c>
      <c r="C724" s="35" t="s">
        <v>612</v>
      </c>
      <c r="D724" s="36" t="s">
        <v>1663</v>
      </c>
      <c r="E724" s="37">
        <v>2.9999999999999997E-8</v>
      </c>
      <c r="F724" s="38">
        <v>1.2267800000000001E-4</v>
      </c>
      <c r="G724" s="39">
        <v>111.268</v>
      </c>
      <c r="H724" s="39">
        <v>49246</v>
      </c>
      <c r="I724" s="40">
        <v>401421401</v>
      </c>
      <c r="J724" s="40">
        <v>401421401</v>
      </c>
      <c r="K724" s="46">
        <v>-0.05</v>
      </c>
      <c r="L724" s="46">
        <v>28.29</v>
      </c>
      <c r="M724" s="46">
        <v>-27.49</v>
      </c>
      <c r="N724" s="36">
        <v>720</v>
      </c>
      <c r="O724" s="41">
        <v>42998.867893518516</v>
      </c>
    </row>
    <row r="725" spans="2:15" x14ac:dyDescent="0.25">
      <c r="B725" s="36" t="s">
        <v>2844</v>
      </c>
      <c r="C725" s="35" t="s">
        <v>742</v>
      </c>
      <c r="D725" s="36" t="s">
        <v>1786</v>
      </c>
      <c r="E725" s="37">
        <v>5.8999999999999996E-7</v>
      </c>
      <c r="F725" s="38">
        <v>2.3431400000000001E-3</v>
      </c>
      <c r="G725" s="39">
        <v>110.119</v>
      </c>
      <c r="H725" s="39">
        <v>48967</v>
      </c>
      <c r="I725" s="40">
        <v>20898106</v>
      </c>
      <c r="J725" s="40">
        <v>20898106</v>
      </c>
      <c r="K725" s="46">
        <v>-0.05</v>
      </c>
      <c r="L725" s="46">
        <v>3.25</v>
      </c>
      <c r="M725" s="46">
        <v>118.8</v>
      </c>
      <c r="N725" s="36">
        <v>721</v>
      </c>
      <c r="O725" s="41">
        <v>42998.867696759262</v>
      </c>
    </row>
    <row r="726" spans="2:15" x14ac:dyDescent="0.25">
      <c r="B726" s="36" t="s">
        <v>2792</v>
      </c>
      <c r="C726" s="35" t="s">
        <v>683</v>
      </c>
      <c r="D726" s="36" t="s">
        <v>1729</v>
      </c>
      <c r="E726" s="37">
        <v>5.2490000000000001E-5</v>
      </c>
      <c r="F726" s="38">
        <v>0.20846000000000001</v>
      </c>
      <c r="G726" s="39">
        <v>11.011100000000001</v>
      </c>
      <c r="H726" s="39">
        <v>48795</v>
      </c>
      <c r="I726" s="40">
        <v>234074</v>
      </c>
      <c r="J726" s="40">
        <v>234074</v>
      </c>
      <c r="K726" s="46">
        <v>-0.05</v>
      </c>
      <c r="L726" s="46">
        <v>7.64</v>
      </c>
      <c r="M726" s="46">
        <v>-9.6300000000000008</v>
      </c>
      <c r="N726" s="36">
        <v>722</v>
      </c>
      <c r="O726" s="41">
        <v>42998.867951388886</v>
      </c>
    </row>
    <row r="727" spans="2:15" x14ac:dyDescent="0.25">
      <c r="B727" s="36" t="s">
        <v>2836</v>
      </c>
      <c r="C727" s="35" t="s">
        <v>727</v>
      </c>
      <c r="D727" s="36" t="s">
        <v>1771</v>
      </c>
      <c r="E727" s="37">
        <v>1.2443999999999999E-4</v>
      </c>
      <c r="F727" s="38">
        <v>0.49420500000000001</v>
      </c>
      <c r="G727" s="39">
        <v>35.999600000000001</v>
      </c>
      <c r="H727" s="39">
        <v>48636</v>
      </c>
      <c r="I727" s="40">
        <v>98412</v>
      </c>
      <c r="J727" s="40">
        <v>98412</v>
      </c>
      <c r="K727" s="46">
        <v>-0.05</v>
      </c>
      <c r="L727" s="46">
        <v>-1.27</v>
      </c>
      <c r="M727" s="46">
        <v>8.39</v>
      </c>
      <c r="N727" s="36">
        <v>723</v>
      </c>
      <c r="O727" s="41">
        <v>42998.867511574077</v>
      </c>
    </row>
    <row r="728" spans="2:15" x14ac:dyDescent="0.25">
      <c r="B728" s="36" t="s">
        <v>2613</v>
      </c>
      <c r="C728" s="35" t="s">
        <v>490</v>
      </c>
      <c r="D728" s="36" t="s">
        <v>1545</v>
      </c>
      <c r="E728" s="37">
        <v>1.22E-6</v>
      </c>
      <c r="F728" s="38">
        <v>4.8286700000000002E-3</v>
      </c>
      <c r="G728" s="39">
        <v>77.180300000000003</v>
      </c>
      <c r="H728" s="39">
        <v>47898</v>
      </c>
      <c r="I728" s="40">
        <v>9919485</v>
      </c>
      <c r="J728" s="40">
        <v>21319485</v>
      </c>
      <c r="K728" s="46">
        <v>-9.31</v>
      </c>
      <c r="L728" s="46">
        <v>-14.44</v>
      </c>
      <c r="M728" s="46">
        <v>-14.29</v>
      </c>
      <c r="N728" s="36">
        <v>724</v>
      </c>
      <c r="O728" s="41">
        <v>42998.867789351854</v>
      </c>
    </row>
    <row r="729" spans="2:15" x14ac:dyDescent="0.25">
      <c r="B729" s="36" t="s">
        <v>2799</v>
      </c>
      <c r="C729" s="35" t="s">
        <v>689</v>
      </c>
      <c r="D729" s="36" t="s">
        <v>1735</v>
      </c>
      <c r="E729" s="37">
        <v>1.383E-5</v>
      </c>
      <c r="F729" s="38">
        <v>5.4924899999999999E-2</v>
      </c>
      <c r="G729" s="39">
        <v>1.0985</v>
      </c>
      <c r="H729" s="39">
        <v>47296</v>
      </c>
      <c r="I729" s="40">
        <v>861099</v>
      </c>
      <c r="J729" s="40">
        <v>861099</v>
      </c>
      <c r="K729" s="46">
        <v>-0.05</v>
      </c>
      <c r="L729" s="46">
        <v>0.27</v>
      </c>
      <c r="M729" s="46">
        <v>4.59</v>
      </c>
      <c r="N729" s="36">
        <v>725</v>
      </c>
      <c r="O729" s="41">
        <v>42998.867731481485</v>
      </c>
    </row>
    <row r="730" spans="2:15" x14ac:dyDescent="0.25">
      <c r="B730" s="36" t="s">
        <v>2607</v>
      </c>
      <c r="C730" s="35" t="s">
        <v>496</v>
      </c>
      <c r="D730" s="36" t="s">
        <v>1551</v>
      </c>
      <c r="E730" s="37">
        <v>2.6E-7</v>
      </c>
      <c r="F730" s="38">
        <v>1.0280599999999999E-3</v>
      </c>
      <c r="G730" s="39">
        <v>320.24099999999999</v>
      </c>
      <c r="H730" s="39">
        <v>47175</v>
      </c>
      <c r="I730" s="40">
        <v>45887218</v>
      </c>
      <c r="J730" s="40">
        <v>45887218</v>
      </c>
      <c r="K730" s="46">
        <v>6.38</v>
      </c>
      <c r="L730" s="46">
        <v>9.43</v>
      </c>
      <c r="M730" s="46">
        <v>-13.57</v>
      </c>
      <c r="N730" s="36">
        <v>726</v>
      </c>
      <c r="O730" s="41">
        <v>42998.867638888885</v>
      </c>
    </row>
    <row r="731" spans="2:15" x14ac:dyDescent="0.25">
      <c r="B731" s="36" t="s">
        <v>2617</v>
      </c>
      <c r="C731" s="35" t="s">
        <v>507</v>
      </c>
      <c r="D731" s="36" t="s">
        <v>1562</v>
      </c>
      <c r="E731" s="37">
        <v>6.4000000000000001E-7</v>
      </c>
      <c r="F731" s="38">
        <v>2.54171E-3</v>
      </c>
      <c r="G731" s="39">
        <v>313.69499999999999</v>
      </c>
      <c r="H731" s="39">
        <v>47143</v>
      </c>
      <c r="I731" s="40">
        <v>18547845</v>
      </c>
      <c r="J731" s="40">
        <v>18547845</v>
      </c>
      <c r="K731" s="46">
        <v>-0.05</v>
      </c>
      <c r="L731" s="46">
        <v>-13.63</v>
      </c>
      <c r="M731" s="46">
        <v>-43.23</v>
      </c>
      <c r="N731" s="36">
        <v>727</v>
      </c>
      <c r="O731" s="41">
        <v>42998.867824074077</v>
      </c>
    </row>
    <row r="732" spans="2:15" x14ac:dyDescent="0.25">
      <c r="B732" s="36" t="s">
        <v>2781</v>
      </c>
      <c r="C732" s="35" t="s">
        <v>513</v>
      </c>
      <c r="D732" s="36" t="s">
        <v>1568</v>
      </c>
      <c r="E732" s="37">
        <v>1.3E-7</v>
      </c>
      <c r="F732" s="38">
        <v>5.1624600000000004E-4</v>
      </c>
      <c r="G732" s="39">
        <v>57.5443</v>
      </c>
      <c r="H732" s="39">
        <v>46680</v>
      </c>
      <c r="I732" s="40">
        <v>90421856</v>
      </c>
      <c r="J732" s="40">
        <v>90421856</v>
      </c>
      <c r="K732" s="46">
        <v>-0.05</v>
      </c>
      <c r="L732" s="46">
        <v>-17.739999999999998</v>
      </c>
      <c r="M732" s="46">
        <v>-11.63</v>
      </c>
      <c r="N732" s="36">
        <v>728</v>
      </c>
      <c r="O732" s="41">
        <v>42998.867824074077</v>
      </c>
    </row>
    <row r="733" spans="2:15" x14ac:dyDescent="0.25">
      <c r="B733" s="36" t="s">
        <v>2829</v>
      </c>
      <c r="C733" s="35" t="s">
        <v>721</v>
      </c>
      <c r="D733" s="36" t="s">
        <v>1765</v>
      </c>
      <c r="E733" s="37">
        <v>1.5999999999999999E-6</v>
      </c>
      <c r="F733" s="38">
        <v>6.3542900000000003E-3</v>
      </c>
      <c r="G733" s="39">
        <v>1.5951599999999999</v>
      </c>
      <c r="H733" s="39">
        <v>46246</v>
      </c>
      <c r="I733" s="40">
        <v>7277845</v>
      </c>
      <c r="J733" s="40">
        <v>7277845</v>
      </c>
      <c r="K733" s="46">
        <v>-0.05</v>
      </c>
      <c r="L733" s="46">
        <v>17.489999999999998</v>
      </c>
      <c r="M733" s="46">
        <v>6.22</v>
      </c>
      <c r="N733" s="36">
        <v>729</v>
      </c>
      <c r="O733" s="41">
        <v>42998.867650462962</v>
      </c>
    </row>
    <row r="734" spans="2:15" x14ac:dyDescent="0.25">
      <c r="B734" s="36" t="s">
        <v>2811</v>
      </c>
      <c r="C734" s="35" t="s">
        <v>511</v>
      </c>
      <c r="D734" s="36" t="s">
        <v>1566</v>
      </c>
      <c r="E734" s="37">
        <v>3.9999999999999998E-7</v>
      </c>
      <c r="F734" s="38">
        <v>1.5885700000000001E-3</v>
      </c>
      <c r="G734" s="39">
        <v>53.770699999999998</v>
      </c>
      <c r="H734" s="39">
        <v>46214</v>
      </c>
      <c r="I734" s="40">
        <v>29091360</v>
      </c>
      <c r="J734" s="40">
        <v>88990610</v>
      </c>
      <c r="K734" s="46">
        <v>-0.05</v>
      </c>
      <c r="L734" s="46">
        <v>40.01</v>
      </c>
      <c r="M734" s="46">
        <v>-24.09</v>
      </c>
      <c r="N734" s="36">
        <v>730</v>
      </c>
      <c r="O734" s="41">
        <v>42998.867986111109</v>
      </c>
    </row>
    <row r="735" spans="2:15" x14ac:dyDescent="0.25">
      <c r="B735" s="36" t="s">
        <v>2627</v>
      </c>
      <c r="C735" s="35" t="s">
        <v>709</v>
      </c>
      <c r="D735" s="36" t="s">
        <v>1754</v>
      </c>
      <c r="E735" s="37">
        <v>6.7000000000000004E-7</v>
      </c>
      <c r="F735" s="38">
        <v>2.6608600000000001E-3</v>
      </c>
      <c r="G735" s="39">
        <v>209.04300000000001</v>
      </c>
      <c r="H735" s="39">
        <v>45473</v>
      </c>
      <c r="I735" s="40">
        <v>17089600</v>
      </c>
      <c r="J735" s="40">
        <v>19089600</v>
      </c>
      <c r="K735" s="46">
        <v>-0.05</v>
      </c>
      <c r="L735" s="46">
        <v>3.04</v>
      </c>
      <c r="M735" s="46">
        <v>22.45</v>
      </c>
      <c r="N735" s="36">
        <v>731</v>
      </c>
      <c r="O735" s="41">
        <v>42998.867476851854</v>
      </c>
    </row>
    <row r="736" spans="2:15" x14ac:dyDescent="0.25">
      <c r="B736" s="36" t="s">
        <v>2765</v>
      </c>
      <c r="C736" s="35" t="s">
        <v>665</v>
      </c>
      <c r="D736" s="36" t="s">
        <v>1713</v>
      </c>
      <c r="E736" s="37">
        <v>1.3999999999999999E-6</v>
      </c>
      <c r="F736" s="38">
        <v>5.5726999999999999E-3</v>
      </c>
      <c r="G736" s="39">
        <v>69.9465</v>
      </c>
      <c r="H736" s="39">
        <v>44749</v>
      </c>
      <c r="I736" s="40">
        <v>8030000</v>
      </c>
      <c r="J736" s="40">
        <v>8030000</v>
      </c>
      <c r="K736" s="46">
        <v>-0.04</v>
      </c>
      <c r="L736" s="46">
        <v>-19.88</v>
      </c>
      <c r="M736" s="46">
        <v>-15.19</v>
      </c>
      <c r="N736" s="36">
        <v>732</v>
      </c>
      <c r="O736" s="41">
        <v>42998.867777777778</v>
      </c>
    </row>
    <row r="737" spans="2:15" x14ac:dyDescent="0.25">
      <c r="B737" s="36" t="s">
        <v>2786</v>
      </c>
      <c r="C737" s="35" t="s">
        <v>664</v>
      </c>
      <c r="D737" s="36" t="s">
        <v>1712</v>
      </c>
      <c r="E737" s="37">
        <v>2.7499999999999999E-6</v>
      </c>
      <c r="F737" s="38">
        <v>1.1019599999999999E-2</v>
      </c>
      <c r="G737" s="39"/>
      <c r="H737" s="39">
        <v>43701</v>
      </c>
      <c r="I737" s="40">
        <v>3965716</v>
      </c>
      <c r="J737" s="40">
        <v>3965716</v>
      </c>
      <c r="K737" s="46"/>
      <c r="L737" s="46">
        <v>2.56</v>
      </c>
      <c r="M737" s="46">
        <v>-13.91</v>
      </c>
      <c r="N737" s="36">
        <v>733</v>
      </c>
      <c r="O737" s="41">
        <v>42998.760266203702</v>
      </c>
    </row>
    <row r="738" spans="2:15" x14ac:dyDescent="0.25">
      <c r="B738" s="36" t="s">
        <v>2775</v>
      </c>
      <c r="C738" s="35" t="s">
        <v>669</v>
      </c>
      <c r="D738" s="36" t="s">
        <v>1716</v>
      </c>
      <c r="E738" s="37">
        <v>4.5199999999999999E-6</v>
      </c>
      <c r="F738" s="38">
        <v>1.7950899999999999E-2</v>
      </c>
      <c r="G738" s="39">
        <v>0.2276</v>
      </c>
      <c r="H738" s="39">
        <v>43607</v>
      </c>
      <c r="I738" s="40">
        <v>2429219</v>
      </c>
      <c r="J738" s="40">
        <v>2429219</v>
      </c>
      <c r="K738" s="46">
        <v>-0.05</v>
      </c>
      <c r="L738" s="46">
        <v>2.16</v>
      </c>
      <c r="M738" s="46">
        <v>-23.13</v>
      </c>
      <c r="N738" s="36">
        <v>734</v>
      </c>
      <c r="O738" s="41">
        <v>42998.867430555554</v>
      </c>
    </row>
    <row r="739" spans="2:15" x14ac:dyDescent="0.25">
      <c r="B739" s="36" t="s">
        <v>2789</v>
      </c>
      <c r="C739" s="35" t="s">
        <v>671</v>
      </c>
      <c r="D739" s="36" t="s">
        <v>1718</v>
      </c>
      <c r="E739" s="37">
        <v>9.4E-7</v>
      </c>
      <c r="F739" s="38">
        <v>3.7518999999999999E-3</v>
      </c>
      <c r="G739" s="39">
        <v>6.7763900000000001</v>
      </c>
      <c r="H739" s="39">
        <v>43443</v>
      </c>
      <c r="I739" s="40">
        <v>11578839</v>
      </c>
      <c r="J739" s="40">
        <v>11578839</v>
      </c>
      <c r="K739" s="46">
        <v>-6.82</v>
      </c>
      <c r="L739" s="46">
        <v>-26.55</v>
      </c>
      <c r="M739" s="46">
        <v>-9.69</v>
      </c>
      <c r="N739" s="36">
        <v>735</v>
      </c>
      <c r="O739" s="41">
        <v>42998.867592592593</v>
      </c>
    </row>
    <row r="740" spans="2:15" x14ac:dyDescent="0.25">
      <c r="B740" s="36" t="s">
        <v>2806</v>
      </c>
      <c r="C740" s="35" t="s">
        <v>692</v>
      </c>
      <c r="D740" s="36" t="s">
        <v>1738</v>
      </c>
      <c r="E740" s="37">
        <v>1.3999999999999999E-6</v>
      </c>
      <c r="F740" s="38">
        <v>5.5623799999999996E-3</v>
      </c>
      <c r="G740" s="39">
        <v>23.3475</v>
      </c>
      <c r="H740" s="39">
        <v>42558</v>
      </c>
      <c r="I740" s="40">
        <v>7650983</v>
      </c>
      <c r="J740" s="40">
        <v>7650983</v>
      </c>
      <c r="K740" s="46">
        <v>-0.19</v>
      </c>
      <c r="L740" s="46">
        <v>2.5099999999999998</v>
      </c>
      <c r="M740" s="46">
        <v>-33.24</v>
      </c>
      <c r="N740" s="36">
        <v>736</v>
      </c>
      <c r="O740" s="41">
        <v>42998.867488425924</v>
      </c>
    </row>
    <row r="741" spans="2:15" x14ac:dyDescent="0.25">
      <c r="B741" s="36" t="s">
        <v>2827</v>
      </c>
      <c r="C741" s="35" t="s">
        <v>690</v>
      </c>
      <c r="D741" s="36" t="s">
        <v>1736</v>
      </c>
      <c r="E741" s="37">
        <v>2.12E-6</v>
      </c>
      <c r="F741" s="38">
        <v>8.4194300000000003E-3</v>
      </c>
      <c r="G741" s="39">
        <v>14.0793</v>
      </c>
      <c r="H741" s="39">
        <v>42374</v>
      </c>
      <c r="I741" s="40">
        <v>5032929</v>
      </c>
      <c r="J741" s="40">
        <v>5032929</v>
      </c>
      <c r="K741" s="46">
        <v>-0.82</v>
      </c>
      <c r="L741" s="46">
        <v>-3.07</v>
      </c>
      <c r="M741" s="46">
        <v>-13.92</v>
      </c>
      <c r="N741" s="36">
        <v>737</v>
      </c>
      <c r="O741" s="41">
        <v>42998.86755787037</v>
      </c>
    </row>
    <row r="742" spans="2:15" x14ac:dyDescent="0.25">
      <c r="B742" s="36" t="s">
        <v>2807</v>
      </c>
      <c r="C742" s="35" t="s">
        <v>703</v>
      </c>
      <c r="D742" s="36">
        <v>611</v>
      </c>
      <c r="E742" s="37">
        <v>2.5199999999999999E-5</v>
      </c>
      <c r="F742" s="38">
        <v>0.100062</v>
      </c>
      <c r="G742" s="39">
        <v>460.69600000000003</v>
      </c>
      <c r="H742" s="39">
        <v>42358</v>
      </c>
      <c r="I742" s="40">
        <v>423322</v>
      </c>
      <c r="J742" s="40">
        <v>423322</v>
      </c>
      <c r="K742" s="46">
        <v>-7.34</v>
      </c>
      <c r="L742" s="46">
        <v>-10.52</v>
      </c>
      <c r="M742" s="46">
        <v>-1.07</v>
      </c>
      <c r="N742" s="36">
        <v>738</v>
      </c>
      <c r="O742" s="41">
        <v>42998.867696759262</v>
      </c>
    </row>
    <row r="743" spans="2:15" x14ac:dyDescent="0.25">
      <c r="B743" s="36" t="s">
        <v>2621</v>
      </c>
      <c r="C743" s="35" t="s">
        <v>686</v>
      </c>
      <c r="D743" s="36" t="s">
        <v>1732</v>
      </c>
      <c r="E743" s="37">
        <v>5.4000000000000002E-7</v>
      </c>
      <c r="F743" s="38">
        <v>2.1445700000000002E-3</v>
      </c>
      <c r="G743" s="39">
        <v>22.250299999999999</v>
      </c>
      <c r="H743" s="39">
        <v>42066</v>
      </c>
      <c r="I743" s="40">
        <v>19615019</v>
      </c>
      <c r="J743" s="40">
        <v>19615019</v>
      </c>
      <c r="K743" s="46">
        <v>-0.05</v>
      </c>
      <c r="L743" s="46">
        <v>-16.239999999999998</v>
      </c>
      <c r="M743" s="46">
        <v>-13.59</v>
      </c>
      <c r="N743" s="36">
        <v>739</v>
      </c>
      <c r="O743" s="41">
        <v>42998.867604166669</v>
      </c>
    </row>
    <row r="744" spans="2:15" x14ac:dyDescent="0.25">
      <c r="B744" s="36" t="s">
        <v>2764</v>
      </c>
      <c r="C744" s="35" t="s">
        <v>670</v>
      </c>
      <c r="D744" s="36" t="s">
        <v>1717</v>
      </c>
      <c r="E744" s="37">
        <v>1.4000000000000001E-7</v>
      </c>
      <c r="F744" s="38">
        <v>5.5599999999999996E-4</v>
      </c>
      <c r="G744" s="39">
        <v>8.6354799999999994</v>
      </c>
      <c r="H744" s="39">
        <v>42042</v>
      </c>
      <c r="I744" s="40">
        <v>75614500</v>
      </c>
      <c r="J744" s="40">
        <v>75614500</v>
      </c>
      <c r="K744" s="46">
        <v>-0.05</v>
      </c>
      <c r="L744" s="46">
        <v>-23.65</v>
      </c>
      <c r="M744" s="46">
        <v>-37.35</v>
      </c>
      <c r="N744" s="36">
        <v>740</v>
      </c>
      <c r="O744" s="41">
        <v>42998.867650462962</v>
      </c>
    </row>
    <row r="745" spans="2:15" x14ac:dyDescent="0.25">
      <c r="B745" s="36" t="s">
        <v>2825</v>
      </c>
      <c r="C745" s="35" t="s">
        <v>717</v>
      </c>
      <c r="D745" s="36" t="s">
        <v>1761</v>
      </c>
      <c r="E745" s="37">
        <v>1.17E-6</v>
      </c>
      <c r="F745" s="38">
        <v>4.64657E-3</v>
      </c>
      <c r="G745" s="39">
        <v>3.1253600000000001</v>
      </c>
      <c r="H745" s="39">
        <v>41773</v>
      </c>
      <c r="I745" s="40">
        <v>8990019</v>
      </c>
      <c r="J745" s="40">
        <v>8990019</v>
      </c>
      <c r="K745" s="46">
        <v>-0.05</v>
      </c>
      <c r="L745" s="46">
        <v>0.65</v>
      </c>
      <c r="M745" s="46">
        <v>-11.67</v>
      </c>
      <c r="N745" s="36">
        <v>741</v>
      </c>
      <c r="O745" s="41">
        <v>42998.867708333331</v>
      </c>
    </row>
    <row r="746" spans="2:15" x14ac:dyDescent="0.25">
      <c r="B746" s="36" t="s">
        <v>2839</v>
      </c>
      <c r="C746" s="35" t="s">
        <v>705</v>
      </c>
      <c r="D746" s="36" t="s">
        <v>1750</v>
      </c>
      <c r="E746" s="37">
        <v>5.0999999999999999E-7</v>
      </c>
      <c r="F746" s="38">
        <v>2.0291200000000001E-3</v>
      </c>
      <c r="G746" s="39">
        <v>137.571</v>
      </c>
      <c r="H746" s="39">
        <v>41019</v>
      </c>
      <c r="I746" s="40">
        <v>20214993</v>
      </c>
      <c r="J746" s="40">
        <v>20214993</v>
      </c>
      <c r="K746" s="46">
        <v>7.2</v>
      </c>
      <c r="L746" s="46">
        <v>61.63</v>
      </c>
      <c r="M746" s="46">
        <v>49.97</v>
      </c>
      <c r="N746" s="36">
        <v>742</v>
      </c>
      <c r="O746" s="41">
        <v>42998.867824074077</v>
      </c>
    </row>
    <row r="747" spans="2:15" x14ac:dyDescent="0.25">
      <c r="B747" s="36" t="s">
        <v>2796</v>
      </c>
      <c r="C747" s="35" t="s">
        <v>711</v>
      </c>
      <c r="D747" s="36" t="s">
        <v>1756</v>
      </c>
      <c r="E747" s="37">
        <v>3.3100000000000001E-6</v>
      </c>
      <c r="F747" s="38">
        <v>1.31412E-2</v>
      </c>
      <c r="G747" s="39">
        <v>164.833</v>
      </c>
      <c r="H747" s="39">
        <v>40938</v>
      </c>
      <c r="I747" s="40">
        <v>3115258</v>
      </c>
      <c r="J747" s="40">
        <v>3115258</v>
      </c>
      <c r="K747" s="46">
        <v>2.13</v>
      </c>
      <c r="L747" s="46">
        <v>-7.92</v>
      </c>
      <c r="M747" s="46">
        <v>-18.670000000000002</v>
      </c>
      <c r="N747" s="36">
        <v>743</v>
      </c>
      <c r="O747" s="41">
        <v>42998.867546296293</v>
      </c>
    </row>
    <row r="748" spans="2:15" x14ac:dyDescent="0.25">
      <c r="B748" s="36" t="s">
        <v>2819</v>
      </c>
      <c r="C748" s="35" t="s">
        <v>713</v>
      </c>
      <c r="D748" s="36" t="s">
        <v>1758</v>
      </c>
      <c r="E748" s="37">
        <v>8.4400000000000005E-6</v>
      </c>
      <c r="F748" s="38">
        <v>3.3518899999999997E-2</v>
      </c>
      <c r="G748" s="39">
        <v>197.404</v>
      </c>
      <c r="H748" s="39">
        <v>40468</v>
      </c>
      <c r="I748" s="40">
        <v>1207310</v>
      </c>
      <c r="J748" s="40">
        <v>1207310</v>
      </c>
      <c r="K748" s="46">
        <v>-0.05</v>
      </c>
      <c r="L748" s="46">
        <v>1.39</v>
      </c>
      <c r="M748" s="46">
        <v>1.85</v>
      </c>
      <c r="N748" s="36">
        <v>744</v>
      </c>
      <c r="O748" s="41">
        <v>42998.867534722223</v>
      </c>
    </row>
    <row r="749" spans="2:15" x14ac:dyDescent="0.25">
      <c r="B749" s="36" t="s">
        <v>2830</v>
      </c>
      <c r="C749" s="35" t="s">
        <v>731</v>
      </c>
      <c r="D749" s="36" t="s">
        <v>1775</v>
      </c>
      <c r="E749" s="37">
        <v>1.1999999999999999E-7</v>
      </c>
      <c r="F749" s="38">
        <v>4.82671E-4</v>
      </c>
      <c r="G749" s="39"/>
      <c r="H749" s="39">
        <v>40279</v>
      </c>
      <c r="I749" s="40">
        <v>83450403</v>
      </c>
      <c r="J749" s="40">
        <v>83450403</v>
      </c>
      <c r="K749" s="46"/>
      <c r="L749" s="46">
        <v>2.8</v>
      </c>
      <c r="M749" s="46">
        <v>-18.670000000000002</v>
      </c>
      <c r="N749" s="36">
        <v>745</v>
      </c>
      <c r="O749" s="41">
        <v>42998.725243055553</v>
      </c>
    </row>
    <row r="750" spans="2:15" x14ac:dyDescent="0.25">
      <c r="B750" s="36" t="s">
        <v>2615</v>
      </c>
      <c r="C750" s="35" t="s">
        <v>500</v>
      </c>
      <c r="D750" s="36" t="s">
        <v>1555</v>
      </c>
      <c r="E750" s="37">
        <v>2.0570000000000001E-5</v>
      </c>
      <c r="F750" s="38">
        <v>8.2497299999999996E-2</v>
      </c>
      <c r="G750" s="39"/>
      <c r="H750" s="39">
        <v>40029</v>
      </c>
      <c r="I750" s="40">
        <v>485214</v>
      </c>
      <c r="J750" s="40">
        <v>852366</v>
      </c>
      <c r="K750" s="46"/>
      <c r="L750" s="46">
        <v>2.29</v>
      </c>
      <c r="M750" s="46">
        <v>-27.69</v>
      </c>
      <c r="N750" s="36">
        <v>746</v>
      </c>
      <c r="O750" s="41">
        <v>42998.593726851854</v>
      </c>
    </row>
    <row r="751" spans="2:15" x14ac:dyDescent="0.25">
      <c r="B751" s="36" t="s">
        <v>2837</v>
      </c>
      <c r="C751" s="35" t="s">
        <v>729</v>
      </c>
      <c r="D751" s="36" t="s">
        <v>1773</v>
      </c>
      <c r="E751" s="37">
        <v>4.9999999999999998E-7</v>
      </c>
      <c r="F751" s="38">
        <v>1.9832199999999999E-3</v>
      </c>
      <c r="G751" s="39"/>
      <c r="H751" s="39">
        <v>40025</v>
      </c>
      <c r="I751" s="40">
        <v>20181636</v>
      </c>
      <c r="J751" s="40">
        <v>20181636</v>
      </c>
      <c r="K751" s="46"/>
      <c r="L751" s="46"/>
      <c r="M751" s="46">
        <v>18.75</v>
      </c>
      <c r="N751" s="36">
        <v>747</v>
      </c>
      <c r="O751" s="41">
        <v>42997.374594907407</v>
      </c>
    </row>
    <row r="752" spans="2:15" x14ac:dyDescent="0.25">
      <c r="B752" s="36" t="s">
        <v>2818</v>
      </c>
      <c r="C752" s="35" t="s">
        <v>712</v>
      </c>
      <c r="D752" s="36" t="s">
        <v>1757</v>
      </c>
      <c r="E752" s="37">
        <v>6.8499999999999996E-6</v>
      </c>
      <c r="F752" s="38">
        <v>2.71863E-2</v>
      </c>
      <c r="G752" s="39">
        <v>294.20100000000002</v>
      </c>
      <c r="H752" s="39">
        <v>39179</v>
      </c>
      <c r="I752" s="40">
        <v>1441132</v>
      </c>
      <c r="J752" s="40">
        <v>1441132</v>
      </c>
      <c r="K752" s="46">
        <v>-0.09</v>
      </c>
      <c r="L752" s="46">
        <v>5.23</v>
      </c>
      <c r="M752" s="46">
        <v>10.64</v>
      </c>
      <c r="N752" s="36">
        <v>748</v>
      </c>
      <c r="O752" s="41">
        <v>42998.867604166669</v>
      </c>
    </row>
    <row r="753" spans="2:15" x14ac:dyDescent="0.25">
      <c r="B753" s="36" t="s">
        <v>2872</v>
      </c>
      <c r="C753" s="35" t="s">
        <v>765</v>
      </c>
      <c r="D753" s="36" t="s">
        <v>765</v>
      </c>
      <c r="E753" s="37">
        <v>8.8999999999999995E-6</v>
      </c>
      <c r="F753" s="38">
        <v>3.5345700000000001E-2</v>
      </c>
      <c r="G753" s="39">
        <v>10.1244</v>
      </c>
      <c r="H753" s="39">
        <v>38711</v>
      </c>
      <c r="I753" s="40">
        <v>1095224</v>
      </c>
      <c r="J753" s="40">
        <v>1095224</v>
      </c>
      <c r="K753" s="46">
        <v>-0.01</v>
      </c>
      <c r="L753" s="46">
        <v>1.32</v>
      </c>
      <c r="M753" s="46">
        <v>35.590000000000003</v>
      </c>
      <c r="N753" s="36">
        <v>749</v>
      </c>
      <c r="O753" s="41">
        <v>42998.867662037039</v>
      </c>
    </row>
    <row r="754" spans="2:15" x14ac:dyDescent="0.25">
      <c r="B754" s="36" t="s">
        <v>2812</v>
      </c>
      <c r="C754" s="35" t="s">
        <v>700</v>
      </c>
      <c r="D754" s="36" t="s">
        <v>1746</v>
      </c>
      <c r="E754" s="37">
        <v>5.4000000000000002E-7</v>
      </c>
      <c r="F754" s="38">
        <v>2.1445700000000002E-3</v>
      </c>
      <c r="G754" s="39">
        <v>12.862500000000001</v>
      </c>
      <c r="H754" s="39">
        <v>38600</v>
      </c>
      <c r="I754" s="40">
        <v>17999091</v>
      </c>
      <c r="J754" s="40">
        <v>25999091</v>
      </c>
      <c r="K754" s="46">
        <v>-0.05</v>
      </c>
      <c r="L754" s="46"/>
      <c r="M754" s="46">
        <v>-12.59</v>
      </c>
      <c r="N754" s="36">
        <v>750</v>
      </c>
      <c r="O754" s="41">
        <v>42998.867708333331</v>
      </c>
    </row>
    <row r="755" spans="2:15" x14ac:dyDescent="0.25">
      <c r="B755" s="36" t="s">
        <v>2822</v>
      </c>
      <c r="C755" s="35" t="s">
        <v>716</v>
      </c>
      <c r="D755" s="36" t="s">
        <v>716</v>
      </c>
      <c r="E755" s="37">
        <v>1.2699999999999999E-6</v>
      </c>
      <c r="F755" s="38">
        <v>5.0437199999999998E-3</v>
      </c>
      <c r="G755" s="39">
        <v>24.864100000000001</v>
      </c>
      <c r="H755" s="39">
        <v>38140</v>
      </c>
      <c r="I755" s="40">
        <v>7561891</v>
      </c>
      <c r="J755" s="40">
        <v>7561891</v>
      </c>
      <c r="K755" s="46">
        <v>5.79</v>
      </c>
      <c r="L755" s="46">
        <v>8.7200000000000006</v>
      </c>
      <c r="M755" s="46">
        <v>11.4</v>
      </c>
      <c r="N755" s="36">
        <v>751</v>
      </c>
      <c r="O755" s="41">
        <v>42998.867604166669</v>
      </c>
    </row>
    <row r="756" spans="2:15" x14ac:dyDescent="0.25">
      <c r="B756" s="36" t="s">
        <v>2728</v>
      </c>
      <c r="C756" s="35" t="s">
        <v>679</v>
      </c>
      <c r="D756" s="36" t="s">
        <v>1726</v>
      </c>
      <c r="E756" s="37">
        <v>9.5799999999999998E-6</v>
      </c>
      <c r="F756" s="38">
        <v>3.8035800000000002E-2</v>
      </c>
      <c r="G756" s="39">
        <v>4.1839399999999998</v>
      </c>
      <c r="H756" s="39">
        <v>38036</v>
      </c>
      <c r="I756" s="40">
        <v>999999</v>
      </c>
      <c r="J756" s="40">
        <v>1000000</v>
      </c>
      <c r="K756" s="46">
        <v>0.02</v>
      </c>
      <c r="L756" s="46">
        <v>-15.03</v>
      </c>
      <c r="M756" s="46">
        <v>-58.51</v>
      </c>
      <c r="N756" s="36">
        <v>752</v>
      </c>
      <c r="O756" s="41">
        <v>42998.867835648147</v>
      </c>
    </row>
    <row r="757" spans="2:15" x14ac:dyDescent="0.25">
      <c r="B757" s="36" t="s">
        <v>2757</v>
      </c>
      <c r="C757" s="35" t="s">
        <v>652</v>
      </c>
      <c r="D757" s="36" t="s">
        <v>1700</v>
      </c>
      <c r="E757" s="37">
        <v>1.5400000000000001E-6</v>
      </c>
      <c r="F757" s="38">
        <v>6.1114699999999999E-3</v>
      </c>
      <c r="G757" s="39">
        <v>32.4206</v>
      </c>
      <c r="H757" s="39">
        <v>37887</v>
      </c>
      <c r="I757" s="40">
        <v>6199359</v>
      </c>
      <c r="J757" s="40">
        <v>7323359</v>
      </c>
      <c r="K757" s="46">
        <v>-0.05</v>
      </c>
      <c r="L757" s="46">
        <v>1.8</v>
      </c>
      <c r="M757" s="46">
        <v>-29.09</v>
      </c>
      <c r="N757" s="36">
        <v>753</v>
      </c>
      <c r="O757" s="41">
        <v>42998.867858796293</v>
      </c>
    </row>
    <row r="758" spans="2:15" x14ac:dyDescent="0.25">
      <c r="B758" s="36" t="s">
        <v>2856</v>
      </c>
      <c r="C758" s="35" t="s">
        <v>747</v>
      </c>
      <c r="D758" s="36" t="s">
        <v>1791</v>
      </c>
      <c r="E758" s="37">
        <v>5.9000000000000003E-6</v>
      </c>
      <c r="F758" s="38">
        <v>2.3559699999999999E-2</v>
      </c>
      <c r="G758" s="39"/>
      <c r="H758" s="39">
        <v>37696</v>
      </c>
      <c r="I758" s="40">
        <v>1600000</v>
      </c>
      <c r="J758" s="40">
        <v>1600000</v>
      </c>
      <c r="K758" s="46"/>
      <c r="L758" s="46">
        <v>2.09</v>
      </c>
      <c r="M758" s="46"/>
      <c r="N758" s="36">
        <v>754</v>
      </c>
      <c r="O758" s="41">
        <v>42998.812037037038</v>
      </c>
    </row>
    <row r="759" spans="2:15" x14ac:dyDescent="0.25">
      <c r="B759" s="36" t="s">
        <v>2883</v>
      </c>
      <c r="C759" s="35" t="s">
        <v>754</v>
      </c>
      <c r="D759" s="36" t="s">
        <v>1798</v>
      </c>
      <c r="E759" s="37">
        <v>1.4899999999999999E-6</v>
      </c>
      <c r="F759" s="38">
        <v>5.8680299999999998E-3</v>
      </c>
      <c r="G759" s="39"/>
      <c r="H759" s="39">
        <v>37483</v>
      </c>
      <c r="I759" s="40">
        <v>6387649</v>
      </c>
      <c r="J759" s="40">
        <v>206387649</v>
      </c>
      <c r="K759" s="46"/>
      <c r="L759" s="46">
        <v>0.66</v>
      </c>
      <c r="M759" s="46">
        <v>-24.33</v>
      </c>
      <c r="N759" s="36">
        <v>755</v>
      </c>
      <c r="O759" s="41">
        <v>42997.975335648145</v>
      </c>
    </row>
    <row r="760" spans="2:15" x14ac:dyDescent="0.25">
      <c r="B760" s="36" t="s">
        <v>2870</v>
      </c>
      <c r="C760" s="35" t="s">
        <v>768</v>
      </c>
      <c r="D760" s="36" t="s">
        <v>1811</v>
      </c>
      <c r="E760" s="37">
        <v>4.6079800000000002E-3</v>
      </c>
      <c r="F760" s="38">
        <v>18.3003</v>
      </c>
      <c r="G760" s="39">
        <v>303.08499999999998</v>
      </c>
      <c r="H760" s="39">
        <v>36720</v>
      </c>
      <c r="I760" s="40">
        <v>2007</v>
      </c>
      <c r="J760" s="40">
        <v>2507</v>
      </c>
      <c r="K760" s="46">
        <v>-23.23</v>
      </c>
      <c r="L760" s="46">
        <v>8.26</v>
      </c>
      <c r="M760" s="46">
        <v>60.81</v>
      </c>
      <c r="N760" s="36">
        <v>756</v>
      </c>
      <c r="O760" s="41">
        <v>42998.867939814816</v>
      </c>
    </row>
    <row r="761" spans="2:15" x14ac:dyDescent="0.25">
      <c r="B761" s="36" t="s">
        <v>2860</v>
      </c>
      <c r="C761" s="35" t="s">
        <v>766</v>
      </c>
      <c r="D761" s="36" t="s">
        <v>1809</v>
      </c>
      <c r="E761" s="37">
        <v>5.9900000000000002E-6</v>
      </c>
      <c r="F761" s="38">
        <v>2.3770800000000002E-2</v>
      </c>
      <c r="G761" s="39">
        <v>76.873400000000004</v>
      </c>
      <c r="H761" s="39">
        <v>36243</v>
      </c>
      <c r="I761" s="40">
        <v>1524686</v>
      </c>
      <c r="J761" s="40">
        <v>2524686</v>
      </c>
      <c r="K761" s="46">
        <v>-0.14000000000000001</v>
      </c>
      <c r="L761" s="46">
        <v>-10.44</v>
      </c>
      <c r="M761" s="46">
        <v>13.53</v>
      </c>
      <c r="N761" s="36">
        <v>757</v>
      </c>
      <c r="O761" s="41">
        <v>42998.867766203701</v>
      </c>
    </row>
    <row r="762" spans="2:15" x14ac:dyDescent="0.25">
      <c r="B762" s="36" t="s">
        <v>2586</v>
      </c>
      <c r="C762" s="35" t="s">
        <v>3287</v>
      </c>
      <c r="D762" s="36" t="s">
        <v>3288</v>
      </c>
      <c r="E762" s="37">
        <v>1.5E-6</v>
      </c>
      <c r="F762" s="38">
        <v>6.0145700000000003E-3</v>
      </c>
      <c r="G762" s="39"/>
      <c r="H762" s="39">
        <v>35749</v>
      </c>
      <c r="I762" s="40">
        <v>5943800</v>
      </c>
      <c r="J762" s="40">
        <v>5943800</v>
      </c>
      <c r="K762" s="46"/>
      <c r="L762" s="46">
        <v>2.48</v>
      </c>
      <c r="M762" s="46">
        <v>51.14</v>
      </c>
      <c r="N762" s="36">
        <v>758</v>
      </c>
      <c r="O762" s="41">
        <v>42998.593680555554</v>
      </c>
    </row>
    <row r="763" spans="2:15" x14ac:dyDescent="0.25">
      <c r="B763" s="36" t="s">
        <v>2791</v>
      </c>
      <c r="C763" s="35" t="s">
        <v>685</v>
      </c>
      <c r="D763" s="36" t="s">
        <v>1731</v>
      </c>
      <c r="E763" s="37">
        <v>3E-9</v>
      </c>
      <c r="F763" s="38">
        <v>1.05736E-5</v>
      </c>
      <c r="G763" s="39">
        <v>219.126</v>
      </c>
      <c r="H763" s="39">
        <v>35663</v>
      </c>
      <c r="I763" s="40">
        <v>3372875244</v>
      </c>
      <c r="J763" s="40">
        <v>3372875244</v>
      </c>
      <c r="K763" s="46">
        <v>42.58</v>
      </c>
      <c r="L763" s="46">
        <v>-21.89</v>
      </c>
      <c r="M763" s="46">
        <v>-24.21</v>
      </c>
      <c r="N763" s="36">
        <v>759</v>
      </c>
      <c r="O763" s="41">
        <v>42998.867476851854</v>
      </c>
    </row>
    <row r="764" spans="2:15" x14ac:dyDescent="0.25">
      <c r="B764" s="36" t="s">
        <v>2864</v>
      </c>
      <c r="C764" s="35" t="s">
        <v>757</v>
      </c>
      <c r="D764" s="36" t="s">
        <v>1801</v>
      </c>
      <c r="E764" s="37">
        <v>2.9999999999999997E-8</v>
      </c>
      <c r="F764" s="38">
        <v>1.19123E-4</v>
      </c>
      <c r="G764" s="39">
        <v>32.406100000000002</v>
      </c>
      <c r="H764" s="39">
        <v>35286</v>
      </c>
      <c r="I764" s="40">
        <v>296213690</v>
      </c>
      <c r="J764" s="40">
        <v>296213690</v>
      </c>
      <c r="K764" s="46">
        <v>-0.06</v>
      </c>
      <c r="L764" s="46">
        <v>1.64</v>
      </c>
      <c r="M764" s="46">
        <v>1.91</v>
      </c>
      <c r="N764" s="36">
        <v>760</v>
      </c>
      <c r="O764" s="41">
        <v>42998.867569444446</v>
      </c>
    </row>
    <row r="765" spans="2:15" x14ac:dyDescent="0.25">
      <c r="B765" s="36" t="s">
        <v>2834</v>
      </c>
      <c r="C765" s="35" t="s">
        <v>715</v>
      </c>
      <c r="D765" s="36" t="s">
        <v>1760</v>
      </c>
      <c r="E765" s="37">
        <v>7.8000000000000005E-7</v>
      </c>
      <c r="F765" s="38">
        <v>3.0905199999999998E-3</v>
      </c>
      <c r="G765" s="39">
        <v>76.3142</v>
      </c>
      <c r="H765" s="39">
        <v>35114</v>
      </c>
      <c r="I765" s="40">
        <v>11361817</v>
      </c>
      <c r="J765" s="40">
        <v>11361817</v>
      </c>
      <c r="K765" s="46">
        <v>0</v>
      </c>
      <c r="L765" s="46">
        <v>-0.8</v>
      </c>
      <c r="M765" s="46">
        <v>-14.15</v>
      </c>
      <c r="N765" s="36">
        <v>761</v>
      </c>
      <c r="O765" s="41">
        <v>42998.867638888885</v>
      </c>
    </row>
    <row r="766" spans="2:15" x14ac:dyDescent="0.25">
      <c r="B766" s="36" t="s">
        <v>2803</v>
      </c>
      <c r="C766" s="35" t="s">
        <v>677</v>
      </c>
      <c r="D766" s="36" t="s">
        <v>1724</v>
      </c>
      <c r="E766" s="37">
        <v>8.0000000000000002E-8</v>
      </c>
      <c r="F766" s="38">
        <v>3.1771399999999997E-4</v>
      </c>
      <c r="G766" s="39">
        <v>64.394000000000005</v>
      </c>
      <c r="H766" s="39">
        <v>34574</v>
      </c>
      <c r="I766" s="40">
        <v>108819571</v>
      </c>
      <c r="J766" s="40">
        <v>108819571</v>
      </c>
      <c r="K766" s="46">
        <v>-0.05</v>
      </c>
      <c r="L766" s="46">
        <v>1.51</v>
      </c>
      <c r="M766" s="46">
        <v>-15.91</v>
      </c>
      <c r="N766" s="36">
        <v>762</v>
      </c>
      <c r="O766" s="41">
        <v>42998.867881944447</v>
      </c>
    </row>
    <row r="767" spans="2:15" x14ac:dyDescent="0.25">
      <c r="B767" s="36" t="s">
        <v>2875</v>
      </c>
      <c r="C767" s="35" t="s">
        <v>787</v>
      </c>
      <c r="D767" s="36" t="s">
        <v>1827</v>
      </c>
      <c r="E767" s="37">
        <v>7.3E-7</v>
      </c>
      <c r="F767" s="38">
        <v>2.8991400000000001E-3</v>
      </c>
      <c r="G767" s="39">
        <v>272.697</v>
      </c>
      <c r="H767" s="39">
        <v>34273</v>
      </c>
      <c r="I767" s="40">
        <v>11821728</v>
      </c>
      <c r="J767" s="40">
        <v>11821728</v>
      </c>
      <c r="K767" s="46"/>
      <c r="L767" s="46">
        <v>89.98</v>
      </c>
      <c r="M767" s="46">
        <v>58.73</v>
      </c>
      <c r="N767" s="36">
        <v>763</v>
      </c>
      <c r="O767" s="41">
        <v>42998.867824074077</v>
      </c>
    </row>
    <row r="768" spans="2:15" x14ac:dyDescent="0.25">
      <c r="B768" s="36" t="s">
        <v>2843</v>
      </c>
      <c r="C768" s="35" t="s">
        <v>743</v>
      </c>
      <c r="D768" s="36" t="s">
        <v>1787</v>
      </c>
      <c r="E768" s="37">
        <v>1.37E-6</v>
      </c>
      <c r="F768" s="38">
        <v>5.4408599999999996E-3</v>
      </c>
      <c r="G768" s="39">
        <v>10.8139</v>
      </c>
      <c r="H768" s="39">
        <v>33972</v>
      </c>
      <c r="I768" s="40">
        <v>6243840</v>
      </c>
      <c r="J768" s="40">
        <v>6243840</v>
      </c>
      <c r="K768" s="46">
        <v>-0.12</v>
      </c>
      <c r="L768" s="46"/>
      <c r="M768" s="46">
        <v>4.68</v>
      </c>
      <c r="N768" s="36">
        <v>764</v>
      </c>
      <c r="O768" s="41">
        <v>42998.867812500001</v>
      </c>
    </row>
    <row r="769" spans="2:15" x14ac:dyDescent="0.25">
      <c r="B769" s="36" t="s">
        <v>2838</v>
      </c>
      <c r="C769" s="35" t="s">
        <v>732</v>
      </c>
      <c r="D769" s="36" t="s">
        <v>1776</v>
      </c>
      <c r="E769" s="37">
        <v>6.7999999999999995E-7</v>
      </c>
      <c r="F769" s="38">
        <v>2.7005699999999998E-3</v>
      </c>
      <c r="G769" s="39">
        <v>6.3937999999999997</v>
      </c>
      <c r="H769" s="39">
        <v>33883</v>
      </c>
      <c r="I769" s="40">
        <v>12546625</v>
      </c>
      <c r="J769" s="40">
        <v>12546625</v>
      </c>
      <c r="K769" s="46">
        <v>-0.05</v>
      </c>
      <c r="L769" s="46">
        <v>1.5</v>
      </c>
      <c r="M769" s="46">
        <v>-25.62</v>
      </c>
      <c r="N769" s="36">
        <v>765</v>
      </c>
      <c r="O769" s="41">
        <v>42998.867650462962</v>
      </c>
    </row>
    <row r="770" spans="2:15" x14ac:dyDescent="0.25">
      <c r="B770" s="36" t="s">
        <v>2804</v>
      </c>
      <c r="C770" s="35" t="s">
        <v>694</v>
      </c>
      <c r="D770" s="36" t="s">
        <v>1740</v>
      </c>
      <c r="E770" s="37">
        <v>3.7699999999999999E-6</v>
      </c>
      <c r="F770" s="38">
        <v>1.49569E-2</v>
      </c>
      <c r="G770" s="39">
        <v>88.524299999999997</v>
      </c>
      <c r="H770" s="39">
        <v>33277</v>
      </c>
      <c r="I770" s="40">
        <v>2224845</v>
      </c>
      <c r="J770" s="40">
        <v>2224845</v>
      </c>
      <c r="K770" s="46">
        <v>-0.08</v>
      </c>
      <c r="L770" s="46">
        <v>6.1</v>
      </c>
      <c r="M770" s="46">
        <v>-28.16</v>
      </c>
      <c r="N770" s="36">
        <v>766</v>
      </c>
      <c r="O770" s="41">
        <v>42998.867685185185</v>
      </c>
    </row>
    <row r="771" spans="2:15" x14ac:dyDescent="0.25">
      <c r="B771" s="36" t="s">
        <v>2820</v>
      </c>
      <c r="C771" s="35" t="s">
        <v>691</v>
      </c>
      <c r="D771" s="36" t="s">
        <v>1737</v>
      </c>
      <c r="E771" s="37">
        <v>9.6500000000000008E-6</v>
      </c>
      <c r="F771" s="38">
        <v>3.8317999999999998E-2</v>
      </c>
      <c r="G771" s="39">
        <v>24.605899999999998</v>
      </c>
      <c r="H771" s="39">
        <v>33231</v>
      </c>
      <c r="I771" s="40">
        <v>867239</v>
      </c>
      <c r="J771" s="40">
        <v>867239</v>
      </c>
      <c r="K771" s="46">
        <v>-0.15</v>
      </c>
      <c r="L771" s="46">
        <v>-4.8600000000000003</v>
      </c>
      <c r="M771" s="46">
        <v>-11.51</v>
      </c>
      <c r="N771" s="36">
        <v>767</v>
      </c>
      <c r="O771" s="41">
        <v>42998.867430555554</v>
      </c>
    </row>
    <row r="772" spans="2:15" x14ac:dyDescent="0.25">
      <c r="B772" s="36" t="s">
        <v>2750</v>
      </c>
      <c r="C772" s="35" t="s">
        <v>640</v>
      </c>
      <c r="D772" s="36" t="s">
        <v>1689</v>
      </c>
      <c r="E772" s="37">
        <v>3.3100000000000001E-6</v>
      </c>
      <c r="F772" s="38">
        <v>1.31454E-2</v>
      </c>
      <c r="G772" s="39">
        <v>0.41390199999999999</v>
      </c>
      <c r="H772" s="39">
        <v>32200</v>
      </c>
      <c r="I772" s="40">
        <v>2449523</v>
      </c>
      <c r="J772" s="40">
        <v>2449523</v>
      </c>
      <c r="K772" s="46">
        <v>-0.05</v>
      </c>
      <c r="L772" s="46"/>
      <c r="M772" s="46"/>
      <c r="N772" s="36">
        <v>768</v>
      </c>
      <c r="O772" s="41">
        <v>42998.867488425924</v>
      </c>
    </row>
    <row r="773" spans="2:15" x14ac:dyDescent="0.25">
      <c r="B773" s="36" t="s">
        <v>2861</v>
      </c>
      <c r="C773" s="35" t="s">
        <v>751</v>
      </c>
      <c r="D773" s="36" t="s">
        <v>1795</v>
      </c>
      <c r="E773" s="37">
        <v>8.0000000000000002E-8</v>
      </c>
      <c r="F773" s="38">
        <v>3.1771399999999997E-4</v>
      </c>
      <c r="G773" s="39">
        <v>3.8125699999999999E-3</v>
      </c>
      <c r="H773" s="39">
        <v>32177</v>
      </c>
      <c r="I773" s="40">
        <v>101276976</v>
      </c>
      <c r="J773" s="40">
        <v>101276976</v>
      </c>
      <c r="K773" s="46">
        <v>-0.05</v>
      </c>
      <c r="L773" s="46">
        <v>1.5</v>
      </c>
      <c r="M773" s="46">
        <v>17.5</v>
      </c>
      <c r="N773" s="36">
        <v>769</v>
      </c>
      <c r="O773" s="41">
        <v>42998.867835648147</v>
      </c>
    </row>
    <row r="774" spans="2:15" x14ac:dyDescent="0.25">
      <c r="B774" s="36" t="s">
        <v>2813</v>
      </c>
      <c r="C774" s="35" t="s">
        <v>718</v>
      </c>
      <c r="D774" s="36" t="s">
        <v>1762</v>
      </c>
      <c r="E774" s="37">
        <v>6.6200000000000001E-6</v>
      </c>
      <c r="F774" s="38">
        <v>2.63018E-2</v>
      </c>
      <c r="G774" s="39">
        <v>65.253699999999995</v>
      </c>
      <c r="H774" s="39">
        <v>32092</v>
      </c>
      <c r="I774" s="40">
        <v>1220161</v>
      </c>
      <c r="J774" s="40">
        <v>1220161</v>
      </c>
      <c r="K774" s="46">
        <v>-0.05</v>
      </c>
      <c r="L774" s="46">
        <v>-3.53</v>
      </c>
      <c r="M774" s="46">
        <v>3.54</v>
      </c>
      <c r="N774" s="36">
        <v>770</v>
      </c>
      <c r="O774" s="41">
        <v>42998.86755787037</v>
      </c>
    </row>
    <row r="775" spans="2:15" x14ac:dyDescent="0.25">
      <c r="B775" s="36" t="s">
        <v>2866</v>
      </c>
      <c r="C775" s="35" t="s">
        <v>752</v>
      </c>
      <c r="D775" s="36" t="s">
        <v>1796</v>
      </c>
      <c r="E775" s="37">
        <v>1.11E-6</v>
      </c>
      <c r="F775" s="38">
        <v>4.4191500000000002E-3</v>
      </c>
      <c r="G775" s="39">
        <v>345.96899999999999</v>
      </c>
      <c r="H775" s="39">
        <v>31707</v>
      </c>
      <c r="I775" s="40">
        <v>7174821</v>
      </c>
      <c r="J775" s="40">
        <v>7174821</v>
      </c>
      <c r="K775" s="46">
        <v>-0.06</v>
      </c>
      <c r="L775" s="46">
        <v>24.65</v>
      </c>
      <c r="M775" s="46">
        <v>50.47</v>
      </c>
      <c r="N775" s="36">
        <v>771</v>
      </c>
      <c r="O775" s="41">
        <v>42998.867731481485</v>
      </c>
    </row>
    <row r="776" spans="2:15" x14ac:dyDescent="0.25">
      <c r="B776" s="36" t="s">
        <v>2840</v>
      </c>
      <c r="C776" s="35" t="s">
        <v>730</v>
      </c>
      <c r="D776" s="36" t="s">
        <v>1774</v>
      </c>
      <c r="E776" s="37">
        <v>4.7E-7</v>
      </c>
      <c r="F776" s="38">
        <v>1.67735E-3</v>
      </c>
      <c r="G776" s="39"/>
      <c r="H776" s="39">
        <v>31241</v>
      </c>
      <c r="I776" s="40">
        <v>18625017</v>
      </c>
      <c r="J776" s="40">
        <v>18625017</v>
      </c>
      <c r="K776" s="46"/>
      <c r="L776" s="46"/>
      <c r="M776" s="46">
        <v>-10.63</v>
      </c>
      <c r="N776" s="36">
        <v>772</v>
      </c>
      <c r="O776" s="41">
        <v>42994.565555555557</v>
      </c>
    </row>
    <row r="777" spans="2:15" x14ac:dyDescent="0.25">
      <c r="B777" s="36" t="s">
        <v>2848</v>
      </c>
      <c r="C777" s="35" t="s">
        <v>738</v>
      </c>
      <c r="D777" s="36" t="s">
        <v>1782</v>
      </c>
      <c r="E777" s="37">
        <v>1.9999999999999999E-7</v>
      </c>
      <c r="F777" s="38">
        <v>8.0374000000000005E-4</v>
      </c>
      <c r="G777" s="39"/>
      <c r="H777" s="39">
        <v>31080</v>
      </c>
      <c r="I777" s="40">
        <v>38669634</v>
      </c>
      <c r="J777" s="40">
        <v>38669634</v>
      </c>
      <c r="K777" s="46"/>
      <c r="L777" s="46"/>
      <c r="M777" s="46">
        <v>3.12</v>
      </c>
      <c r="N777" s="36">
        <v>773</v>
      </c>
      <c r="O777" s="41">
        <v>42996.67659722222</v>
      </c>
    </row>
    <row r="778" spans="2:15" x14ac:dyDescent="0.25">
      <c r="B778" s="36" t="s">
        <v>2628</v>
      </c>
      <c r="C778" s="35" t="s">
        <v>509</v>
      </c>
      <c r="D778" s="36" t="s">
        <v>1564</v>
      </c>
      <c r="E778" s="37">
        <v>3.8000000000000001E-7</v>
      </c>
      <c r="F778" s="38">
        <v>1.51074E-3</v>
      </c>
      <c r="G778" s="39">
        <v>76.831100000000006</v>
      </c>
      <c r="H778" s="39">
        <v>31001</v>
      </c>
      <c r="I778" s="40">
        <v>20520514</v>
      </c>
      <c r="J778" s="40">
        <v>20520514</v>
      </c>
      <c r="K778" s="46">
        <v>-0.05</v>
      </c>
      <c r="L778" s="46">
        <v>-6.52</v>
      </c>
      <c r="M778" s="46">
        <v>-4.03</v>
      </c>
      <c r="N778" s="36">
        <v>774</v>
      </c>
      <c r="O778" s="41">
        <v>42998.867789351854</v>
      </c>
    </row>
    <row r="779" spans="2:15" x14ac:dyDescent="0.25">
      <c r="B779" s="36" t="s">
        <v>3250</v>
      </c>
      <c r="C779" s="35" t="s">
        <v>3251</v>
      </c>
      <c r="D779" s="36" t="s">
        <v>3238</v>
      </c>
      <c r="E779" s="37">
        <v>4.1393000000000002E-4</v>
      </c>
      <c r="F779" s="38">
        <v>1.65974</v>
      </c>
      <c r="G779" s="39"/>
      <c r="H779" s="39">
        <v>30914</v>
      </c>
      <c r="I779" s="40">
        <v>18626</v>
      </c>
      <c r="J779" s="40">
        <v>18626</v>
      </c>
      <c r="K779" s="46"/>
      <c r="L779" s="46">
        <v>2.42</v>
      </c>
      <c r="M779" s="46">
        <v>-34.46</v>
      </c>
      <c r="N779" s="36">
        <v>775</v>
      </c>
      <c r="O779" s="41">
        <v>42998.593761574077</v>
      </c>
    </row>
    <row r="780" spans="2:15" x14ac:dyDescent="0.25">
      <c r="B780" s="36" t="s">
        <v>2776</v>
      </c>
      <c r="C780" s="35" t="s">
        <v>698</v>
      </c>
      <c r="D780" s="36" t="s">
        <v>1744</v>
      </c>
      <c r="E780" s="37">
        <v>4.0000000000000001E-10</v>
      </c>
      <c r="F780" s="38">
        <v>1.5856999999999999E-6</v>
      </c>
      <c r="G780" s="39">
        <v>162.279</v>
      </c>
      <c r="H780" s="39">
        <v>30738</v>
      </c>
      <c r="I780" s="40">
        <v>19383995600</v>
      </c>
      <c r="J780" s="40">
        <v>19383995600</v>
      </c>
      <c r="K780" s="46">
        <v>49.58</v>
      </c>
      <c r="L780" s="46">
        <v>-0.13</v>
      </c>
      <c r="M780" s="46">
        <v>-34.369999999999997</v>
      </c>
      <c r="N780" s="36">
        <v>776</v>
      </c>
      <c r="O780" s="41">
        <v>42998.867465277777</v>
      </c>
    </row>
    <row r="781" spans="2:15" x14ac:dyDescent="0.25">
      <c r="B781" s="36" t="s">
        <v>2824</v>
      </c>
      <c r="C781" s="35" t="s">
        <v>719</v>
      </c>
      <c r="D781" s="36" t="s">
        <v>1763</v>
      </c>
      <c r="E781" s="37">
        <v>6.1999999999999999E-7</v>
      </c>
      <c r="F781" s="38">
        <v>2.4622899999999998E-3</v>
      </c>
      <c r="G781" s="39">
        <v>8.4745100000000004</v>
      </c>
      <c r="H781" s="39">
        <v>30687</v>
      </c>
      <c r="I781" s="40">
        <v>12462620</v>
      </c>
      <c r="J781" s="40">
        <v>12462620</v>
      </c>
      <c r="K781" s="46">
        <v>-2.92</v>
      </c>
      <c r="L781" s="46">
        <v>-4.08</v>
      </c>
      <c r="M781" s="46">
        <v>-15.75</v>
      </c>
      <c r="N781" s="36">
        <v>777</v>
      </c>
      <c r="O781" s="41">
        <v>42998.86755787037</v>
      </c>
    </row>
    <row r="782" spans="2:15" x14ac:dyDescent="0.25">
      <c r="B782" s="36" t="s">
        <v>2784</v>
      </c>
      <c r="C782" s="35" t="s">
        <v>591</v>
      </c>
      <c r="D782" s="36" t="s">
        <v>1641</v>
      </c>
      <c r="E782" s="37">
        <v>7.0999999999999998E-7</v>
      </c>
      <c r="F782" s="38">
        <v>2.8138E-3</v>
      </c>
      <c r="G782" s="39">
        <v>238.05799999999999</v>
      </c>
      <c r="H782" s="39">
        <v>30361</v>
      </c>
      <c r="I782" s="40">
        <v>10789954</v>
      </c>
      <c r="J782" s="40">
        <v>10789954</v>
      </c>
      <c r="K782" s="46">
        <v>-0.05</v>
      </c>
      <c r="L782" s="46">
        <v>-22.7</v>
      </c>
      <c r="M782" s="46">
        <v>-76.3</v>
      </c>
      <c r="N782" s="36">
        <v>778</v>
      </c>
      <c r="O782" s="41">
        <v>42998.867858796293</v>
      </c>
    </row>
    <row r="783" spans="2:15" x14ac:dyDescent="0.25">
      <c r="B783" s="36" t="s">
        <v>2788</v>
      </c>
      <c r="C783" s="35" t="s">
        <v>503</v>
      </c>
      <c r="D783" s="36" t="s">
        <v>1558</v>
      </c>
      <c r="E783" s="37">
        <v>3E-10</v>
      </c>
      <c r="F783" s="38">
        <v>1.2512E-6</v>
      </c>
      <c r="G783" s="39">
        <v>44.516500000000001</v>
      </c>
      <c r="H783" s="39">
        <v>29911</v>
      </c>
      <c r="I783" s="40">
        <v>23905669976</v>
      </c>
      <c r="J783" s="40">
        <v>23905669976</v>
      </c>
      <c r="K783" s="46">
        <v>-0.65</v>
      </c>
      <c r="L783" s="46">
        <v>-24.53</v>
      </c>
      <c r="M783" s="46">
        <v>-49.84</v>
      </c>
      <c r="N783" s="36">
        <v>779</v>
      </c>
      <c r="O783" s="41">
        <v>42998.867442129631</v>
      </c>
    </row>
    <row r="784" spans="2:15" x14ac:dyDescent="0.25">
      <c r="B784" s="36" t="s">
        <v>2853</v>
      </c>
      <c r="C784" s="35" t="s">
        <v>762</v>
      </c>
      <c r="D784" s="36" t="s">
        <v>1806</v>
      </c>
      <c r="E784" s="37">
        <v>8.9999999999999995E-9</v>
      </c>
      <c r="F784" s="38">
        <v>3.7431700000000003E-5</v>
      </c>
      <c r="G784" s="39">
        <v>0.43496600000000002</v>
      </c>
      <c r="H784" s="39">
        <v>29201</v>
      </c>
      <c r="I784" s="40">
        <v>780124964</v>
      </c>
      <c r="J784" s="40">
        <v>1635124964</v>
      </c>
      <c r="K784" s="46"/>
      <c r="L784" s="46">
        <v>25.95</v>
      </c>
      <c r="M784" s="46">
        <v>-3.93</v>
      </c>
      <c r="N784" s="36">
        <v>780</v>
      </c>
      <c r="O784" s="41">
        <v>42998.867743055554</v>
      </c>
    </row>
    <row r="785" spans="2:15" x14ac:dyDescent="0.25">
      <c r="B785" s="36" t="s">
        <v>2780</v>
      </c>
      <c r="C785" s="35" t="s">
        <v>672</v>
      </c>
      <c r="D785" s="36" t="s">
        <v>1719</v>
      </c>
      <c r="E785" s="37">
        <v>7.8000000000000005E-7</v>
      </c>
      <c r="F785" s="42">
        <v>2.8867400000000001E-3</v>
      </c>
      <c r="G785" s="39"/>
      <c r="H785" s="39">
        <v>29053</v>
      </c>
      <c r="I785" s="40">
        <v>10064287</v>
      </c>
      <c r="J785" s="40">
        <v>10064287</v>
      </c>
      <c r="K785" s="46"/>
      <c r="L785" s="46"/>
      <c r="M785" s="46">
        <v>-74.44</v>
      </c>
      <c r="N785" s="36">
        <v>781</v>
      </c>
      <c r="O785" s="41">
        <v>42995.655694444446</v>
      </c>
    </row>
    <row r="786" spans="2:15" x14ac:dyDescent="0.25">
      <c r="B786" s="36" t="s">
        <v>2850</v>
      </c>
      <c r="C786" s="35" t="s">
        <v>740</v>
      </c>
      <c r="D786" s="36" t="s">
        <v>1784</v>
      </c>
      <c r="E786" s="37">
        <v>4.9999999999999998E-8</v>
      </c>
      <c r="F786" s="38">
        <v>1.9857100000000001E-4</v>
      </c>
      <c r="G786" s="39">
        <v>467.13299999999998</v>
      </c>
      <c r="H786" s="39">
        <v>28615</v>
      </c>
      <c r="I786" s="40">
        <v>144105100</v>
      </c>
      <c r="J786" s="40">
        <v>594105100</v>
      </c>
      <c r="K786" s="46">
        <v>-16.7</v>
      </c>
      <c r="L786" s="46">
        <v>-15.41</v>
      </c>
      <c r="M786" s="46">
        <v>13.82</v>
      </c>
      <c r="N786" s="36">
        <v>782</v>
      </c>
      <c r="O786" s="41">
        <v>42998.867638888885</v>
      </c>
    </row>
    <row r="787" spans="2:15" x14ac:dyDescent="0.25">
      <c r="B787" s="36" t="s">
        <v>2849</v>
      </c>
      <c r="C787" s="35" t="s">
        <v>739</v>
      </c>
      <c r="D787" s="36" t="s">
        <v>1783</v>
      </c>
      <c r="E787" s="37">
        <v>2.74E-6</v>
      </c>
      <c r="F787" s="38">
        <v>1.0881699999999999E-2</v>
      </c>
      <c r="G787" s="39">
        <v>0.427726</v>
      </c>
      <c r="H787" s="39">
        <v>28531</v>
      </c>
      <c r="I787" s="40">
        <v>2621946</v>
      </c>
      <c r="J787" s="40">
        <v>2621946</v>
      </c>
      <c r="K787" s="46">
        <v>-0.12</v>
      </c>
      <c r="L787" s="46">
        <v>0.77</v>
      </c>
      <c r="M787" s="46">
        <v>1.57</v>
      </c>
      <c r="N787" s="36">
        <v>783</v>
      </c>
      <c r="O787" s="41">
        <v>42998.867615740739</v>
      </c>
    </row>
    <row r="788" spans="2:15" x14ac:dyDescent="0.25">
      <c r="B788" s="36" t="s">
        <v>2823</v>
      </c>
      <c r="C788" s="35" t="s">
        <v>769</v>
      </c>
      <c r="D788" s="36" t="s">
        <v>1812</v>
      </c>
      <c r="E788" s="37">
        <v>3.8000000000000001E-7</v>
      </c>
      <c r="F788" s="38">
        <v>1.50914E-3</v>
      </c>
      <c r="G788" s="39">
        <v>16.261199999999999</v>
      </c>
      <c r="H788" s="39">
        <v>28344</v>
      </c>
      <c r="I788" s="40">
        <v>18781750</v>
      </c>
      <c r="J788" s="40">
        <v>268781750</v>
      </c>
      <c r="K788" s="46">
        <v>-0.05</v>
      </c>
      <c r="L788" s="46">
        <v>13.45</v>
      </c>
      <c r="M788" s="46">
        <v>2.4500000000000002</v>
      </c>
      <c r="N788" s="36">
        <v>784</v>
      </c>
      <c r="O788" s="41">
        <v>42998.867847222224</v>
      </c>
    </row>
    <row r="789" spans="2:15" x14ac:dyDescent="0.25">
      <c r="B789" s="36" t="s">
        <v>2871</v>
      </c>
      <c r="C789" s="35" t="s">
        <v>733</v>
      </c>
      <c r="D789" s="36" t="s">
        <v>1777</v>
      </c>
      <c r="E789" s="37">
        <v>5.2E-7</v>
      </c>
      <c r="F789" s="38">
        <v>1.9612399999999999E-3</v>
      </c>
      <c r="G789" s="39"/>
      <c r="H789" s="39">
        <v>28044</v>
      </c>
      <c r="I789" s="40">
        <v>14298972</v>
      </c>
      <c r="J789" s="40">
        <v>14298972</v>
      </c>
      <c r="K789" s="46"/>
      <c r="L789" s="46"/>
      <c r="M789" s="46">
        <v>-29.15</v>
      </c>
      <c r="N789" s="36">
        <v>785</v>
      </c>
      <c r="O789" s="41">
        <v>42995.857245370367</v>
      </c>
    </row>
    <row r="790" spans="2:15" x14ac:dyDescent="0.25">
      <c r="B790" s="36" t="s">
        <v>2841</v>
      </c>
      <c r="C790" s="35" t="s">
        <v>735</v>
      </c>
      <c r="D790" s="36" t="s">
        <v>1779</v>
      </c>
      <c r="E790" s="37">
        <v>3.1E-7</v>
      </c>
      <c r="F790" s="42">
        <v>1.2311399999999999E-3</v>
      </c>
      <c r="G790" s="39">
        <v>25.671700000000001</v>
      </c>
      <c r="H790" s="39">
        <v>26177</v>
      </c>
      <c r="I790" s="40">
        <v>21262780</v>
      </c>
      <c r="J790" s="40">
        <v>22262780</v>
      </c>
      <c r="K790" s="46">
        <v>-0.05</v>
      </c>
      <c r="L790" s="46"/>
      <c r="M790" s="46"/>
      <c r="N790" s="36">
        <v>786</v>
      </c>
      <c r="O790" s="41">
        <v>42998.867708333331</v>
      </c>
    </row>
    <row r="791" spans="2:15" x14ac:dyDescent="0.25">
      <c r="B791" s="36" t="s">
        <v>2623</v>
      </c>
      <c r="C791" s="35" t="s">
        <v>708</v>
      </c>
      <c r="D791" s="36" t="s">
        <v>1753</v>
      </c>
      <c r="E791" s="37">
        <v>6E-11</v>
      </c>
      <c r="F791" s="38">
        <v>2.459E-7</v>
      </c>
      <c r="G791" s="39">
        <v>29.165099999999999</v>
      </c>
      <c r="H791" s="39">
        <v>24593</v>
      </c>
      <c r="I791" s="40">
        <v>100000000000</v>
      </c>
      <c r="J791" s="40">
        <v>100000000000</v>
      </c>
      <c r="K791" s="46">
        <v>-0.43</v>
      </c>
      <c r="L791" s="46">
        <v>-18.399999999999999</v>
      </c>
      <c r="M791" s="46">
        <v>-0.83</v>
      </c>
      <c r="N791" s="36">
        <v>787</v>
      </c>
      <c r="O791" s="41">
        <v>42998.867824074077</v>
      </c>
    </row>
    <row r="792" spans="2:15" x14ac:dyDescent="0.25">
      <c r="B792" s="36" t="s">
        <v>2831</v>
      </c>
      <c r="C792" s="35" t="s">
        <v>746</v>
      </c>
      <c r="D792" s="36" t="s">
        <v>1790</v>
      </c>
      <c r="E792" s="37">
        <v>8.6000000000000002E-7</v>
      </c>
      <c r="F792" s="38">
        <v>3.4154300000000001E-3</v>
      </c>
      <c r="G792" s="39">
        <v>45.491700000000002</v>
      </c>
      <c r="H792" s="39">
        <v>24440</v>
      </c>
      <c r="I792" s="40">
        <v>7155671</v>
      </c>
      <c r="J792" s="40">
        <v>7155671</v>
      </c>
      <c r="K792" s="46">
        <v>-0.05</v>
      </c>
      <c r="L792" s="46">
        <v>1.51</v>
      </c>
      <c r="M792" s="46">
        <v>4.7</v>
      </c>
      <c r="N792" s="36">
        <v>788</v>
      </c>
      <c r="O792" s="41">
        <v>42998.867488425924</v>
      </c>
    </row>
    <row r="793" spans="2:15" x14ac:dyDescent="0.25">
      <c r="B793" s="36" t="s">
        <v>2852</v>
      </c>
      <c r="C793" s="35" t="s">
        <v>744</v>
      </c>
      <c r="D793" s="36" t="s">
        <v>1788</v>
      </c>
      <c r="E793" s="37">
        <v>1.3400000000000001E-6</v>
      </c>
      <c r="F793" s="38">
        <v>5.3217200000000003E-3</v>
      </c>
      <c r="G793" s="39">
        <v>48.051600000000001</v>
      </c>
      <c r="H793" s="39">
        <v>23948</v>
      </c>
      <c r="I793" s="40">
        <v>4500000</v>
      </c>
      <c r="J793" s="40">
        <v>4500000</v>
      </c>
      <c r="K793" s="46">
        <v>6.3</v>
      </c>
      <c r="L793" s="46">
        <v>7.95</v>
      </c>
      <c r="M793" s="46">
        <v>34.26</v>
      </c>
      <c r="N793" s="36">
        <v>789</v>
      </c>
      <c r="O793" s="41">
        <v>42998.867974537039</v>
      </c>
    </row>
    <row r="794" spans="2:15" x14ac:dyDescent="0.25">
      <c r="B794" s="36" t="s">
        <v>2863</v>
      </c>
      <c r="C794" s="35" t="s">
        <v>753</v>
      </c>
      <c r="D794" s="36" t="s">
        <v>1797</v>
      </c>
      <c r="E794" s="37">
        <v>1E-8</v>
      </c>
      <c r="F794" s="38">
        <v>3.97143E-5</v>
      </c>
      <c r="G794" s="39">
        <v>255.04400000000001</v>
      </c>
      <c r="H794" s="39">
        <v>23842</v>
      </c>
      <c r="I794" s="40">
        <v>600344291</v>
      </c>
      <c r="J794" s="40">
        <v>600344291</v>
      </c>
      <c r="K794" s="46">
        <v>-0.05</v>
      </c>
      <c r="L794" s="46">
        <v>1.48</v>
      </c>
      <c r="M794" s="46">
        <v>3.92</v>
      </c>
      <c r="N794" s="36">
        <v>790</v>
      </c>
      <c r="O794" s="41">
        <v>42998.867847222224</v>
      </c>
    </row>
    <row r="795" spans="2:15" x14ac:dyDescent="0.25">
      <c r="B795" s="36" t="s">
        <v>2874</v>
      </c>
      <c r="C795" s="35" t="s">
        <v>767</v>
      </c>
      <c r="D795" s="36" t="s">
        <v>1810</v>
      </c>
      <c r="E795" s="37">
        <v>5.9999999999999995E-8</v>
      </c>
      <c r="F795" s="38">
        <v>2.3828599999999999E-4</v>
      </c>
      <c r="G795" s="39">
        <v>43.685600000000001</v>
      </c>
      <c r="H795" s="39">
        <v>23829</v>
      </c>
      <c r="I795" s="40">
        <v>100000000</v>
      </c>
      <c r="J795" s="40">
        <v>100000000</v>
      </c>
      <c r="K795" s="46">
        <v>-0.05</v>
      </c>
      <c r="L795" s="46"/>
      <c r="M795" s="46">
        <v>1.92</v>
      </c>
      <c r="N795" s="36">
        <v>791</v>
      </c>
      <c r="O795" s="41">
        <v>42998.867754629631</v>
      </c>
    </row>
    <row r="796" spans="2:15" x14ac:dyDescent="0.25">
      <c r="B796" s="36" t="s">
        <v>2826</v>
      </c>
      <c r="C796" s="35" t="s">
        <v>720</v>
      </c>
      <c r="D796" s="36" t="s">
        <v>1764</v>
      </c>
      <c r="E796" s="37">
        <v>1.1000000000000001E-7</v>
      </c>
      <c r="F796" s="38">
        <v>4.5183199999999999E-4</v>
      </c>
      <c r="G796" s="39"/>
      <c r="H796" s="39">
        <v>22938</v>
      </c>
      <c r="I796" s="40">
        <v>50765854</v>
      </c>
      <c r="J796" s="40">
        <v>50765854</v>
      </c>
      <c r="K796" s="46"/>
      <c r="L796" s="46"/>
      <c r="M796" s="46">
        <v>-55.57</v>
      </c>
      <c r="N796" s="36">
        <v>792</v>
      </c>
      <c r="O796" s="41">
        <v>42996.915995370371</v>
      </c>
    </row>
    <row r="797" spans="2:15" x14ac:dyDescent="0.25">
      <c r="B797" s="36" t="s">
        <v>2862</v>
      </c>
      <c r="C797" s="35" t="s">
        <v>763</v>
      </c>
      <c r="D797" s="36" t="s">
        <v>1807</v>
      </c>
      <c r="E797" s="37">
        <v>3.8199999999999998E-6</v>
      </c>
      <c r="F797" s="38">
        <v>1.51764E-2</v>
      </c>
      <c r="G797" s="39">
        <v>22.764600000000002</v>
      </c>
      <c r="H797" s="39">
        <v>22839</v>
      </c>
      <c r="I797" s="40">
        <v>1504878</v>
      </c>
      <c r="J797" s="40">
        <v>2000000</v>
      </c>
      <c r="K797" s="46">
        <v>0.02</v>
      </c>
      <c r="L797" s="46"/>
      <c r="M797" s="46">
        <v>-24.85</v>
      </c>
      <c r="N797" s="36">
        <v>793</v>
      </c>
      <c r="O797" s="41">
        <v>42998.86791666667</v>
      </c>
    </row>
    <row r="798" spans="2:15" x14ac:dyDescent="0.25">
      <c r="B798" s="36" t="s">
        <v>2833</v>
      </c>
      <c r="C798" s="35" t="s">
        <v>726</v>
      </c>
      <c r="D798" s="36" t="s">
        <v>1770</v>
      </c>
      <c r="E798" s="37">
        <v>2.8000000000000002E-7</v>
      </c>
      <c r="F798" s="38">
        <v>1.0965700000000001E-3</v>
      </c>
      <c r="G798" s="39">
        <v>191.577</v>
      </c>
      <c r="H798" s="39">
        <v>22832</v>
      </c>
      <c r="I798" s="40">
        <v>20821709</v>
      </c>
      <c r="J798" s="40">
        <v>20821709</v>
      </c>
      <c r="K798" s="46">
        <v>-0.05</v>
      </c>
      <c r="L798" s="46">
        <v>-33.270000000000003</v>
      </c>
      <c r="M798" s="46">
        <v>-12.42</v>
      </c>
      <c r="N798" s="36">
        <v>794</v>
      </c>
      <c r="O798" s="41">
        <v>42998.867893518516</v>
      </c>
    </row>
    <row r="799" spans="2:15" x14ac:dyDescent="0.25">
      <c r="B799" s="36" t="s">
        <v>2851</v>
      </c>
      <c r="C799" s="35" t="s">
        <v>745</v>
      </c>
      <c r="D799" s="36" t="s">
        <v>1789</v>
      </c>
      <c r="E799" s="37">
        <v>9.9999999999999995E-8</v>
      </c>
      <c r="F799" s="38">
        <v>3.9714299999999998E-4</v>
      </c>
      <c r="G799" s="39">
        <v>31.932300000000001</v>
      </c>
      <c r="H799" s="39">
        <v>22790</v>
      </c>
      <c r="I799" s="40">
        <v>57385690</v>
      </c>
      <c r="J799" s="40">
        <v>57385690</v>
      </c>
      <c r="K799" s="46">
        <v>-15.53</v>
      </c>
      <c r="L799" s="46">
        <v>-12.48</v>
      </c>
      <c r="M799" s="46">
        <v>-45.09</v>
      </c>
      <c r="N799" s="36">
        <v>795</v>
      </c>
      <c r="O799" s="41">
        <v>42998.867847222224</v>
      </c>
    </row>
    <row r="800" spans="2:15" x14ac:dyDescent="0.25">
      <c r="B800" s="36" t="s">
        <v>2855</v>
      </c>
      <c r="C800" s="35" t="s">
        <v>515</v>
      </c>
      <c r="D800" s="36" t="s">
        <v>1570</v>
      </c>
      <c r="E800" s="37">
        <v>2.2999999999999999E-7</v>
      </c>
      <c r="F800" s="38">
        <v>9.13429E-4</v>
      </c>
      <c r="G800" s="39">
        <v>244.35300000000001</v>
      </c>
      <c r="H800" s="39">
        <v>22523</v>
      </c>
      <c r="I800" s="40">
        <v>24657350</v>
      </c>
      <c r="J800" s="40">
        <v>26657350</v>
      </c>
      <c r="K800" s="46">
        <v>53.26</v>
      </c>
      <c r="L800" s="46">
        <v>21.45</v>
      </c>
      <c r="M800" s="46">
        <v>0.38</v>
      </c>
      <c r="N800" s="36">
        <v>796</v>
      </c>
      <c r="O800" s="41">
        <v>42998.867928240739</v>
      </c>
    </row>
    <row r="801" spans="2:15" x14ac:dyDescent="0.25">
      <c r="B801" s="36" t="s">
        <v>2835</v>
      </c>
      <c r="C801" s="35" t="s">
        <v>741</v>
      </c>
      <c r="D801" s="36" t="s">
        <v>1785</v>
      </c>
      <c r="E801" s="37">
        <v>7.0000000000000005E-8</v>
      </c>
      <c r="F801" s="38">
        <v>2.7799999999999998E-4</v>
      </c>
      <c r="G801" s="39">
        <v>0.27800000000000002</v>
      </c>
      <c r="H801" s="39">
        <v>22162</v>
      </c>
      <c r="I801" s="40">
        <v>79719140</v>
      </c>
      <c r="J801" s="40">
        <v>79719140</v>
      </c>
      <c r="K801" s="46">
        <v>-0.05</v>
      </c>
      <c r="L801" s="46">
        <v>-17.059999999999999</v>
      </c>
      <c r="M801" s="46">
        <v>-26.85</v>
      </c>
      <c r="N801" s="36">
        <v>797</v>
      </c>
      <c r="O801" s="41">
        <v>42998.867604166669</v>
      </c>
    </row>
    <row r="802" spans="2:15" x14ac:dyDescent="0.25">
      <c r="B802" s="36" t="s">
        <v>2814</v>
      </c>
      <c r="C802" s="35" t="s">
        <v>688</v>
      </c>
      <c r="D802" s="36" t="s">
        <v>1734</v>
      </c>
      <c r="E802" s="37">
        <v>3.9899999999999999E-6</v>
      </c>
      <c r="F802" s="38">
        <v>1.5845999999999999E-2</v>
      </c>
      <c r="G802" s="39">
        <v>33.351599999999998</v>
      </c>
      <c r="H802" s="39">
        <v>21945</v>
      </c>
      <c r="I802" s="40">
        <v>1384879</v>
      </c>
      <c r="J802" s="40">
        <v>1384879</v>
      </c>
      <c r="K802" s="46">
        <v>-0.05</v>
      </c>
      <c r="L802" s="46">
        <v>-1.32</v>
      </c>
      <c r="M802" s="46">
        <v>19.02</v>
      </c>
      <c r="N802" s="36">
        <v>798</v>
      </c>
      <c r="O802" s="41">
        <v>42998.867974537039</v>
      </c>
    </row>
    <row r="803" spans="2:15" x14ac:dyDescent="0.25">
      <c r="B803" s="36" t="s">
        <v>2881</v>
      </c>
      <c r="C803" s="35" t="s">
        <v>764</v>
      </c>
      <c r="D803" s="36" t="s">
        <v>1808</v>
      </c>
      <c r="E803" s="37">
        <v>3.63E-6</v>
      </c>
      <c r="F803" s="38">
        <v>1.45346E-2</v>
      </c>
      <c r="G803" s="39"/>
      <c r="H803" s="39">
        <v>21717</v>
      </c>
      <c r="I803" s="40">
        <v>1494171</v>
      </c>
      <c r="J803" s="40">
        <v>1694171</v>
      </c>
      <c r="K803" s="46"/>
      <c r="L803" s="46">
        <v>2.34</v>
      </c>
      <c r="M803" s="46">
        <v>-5.0999999999999996</v>
      </c>
      <c r="N803" s="36">
        <v>799</v>
      </c>
      <c r="O803" s="41">
        <v>42998.662777777776</v>
      </c>
    </row>
    <row r="804" spans="2:15" x14ac:dyDescent="0.25">
      <c r="B804" s="36" t="s">
        <v>2790</v>
      </c>
      <c r="C804" s="35" t="s">
        <v>728</v>
      </c>
      <c r="D804" s="36" t="s">
        <v>1772</v>
      </c>
      <c r="E804" s="37">
        <v>7.0000000000000005E-8</v>
      </c>
      <c r="F804" s="38">
        <v>2.7799999999999998E-4</v>
      </c>
      <c r="G804" s="39">
        <v>49.304000000000002</v>
      </c>
      <c r="H804" s="39">
        <v>21622</v>
      </c>
      <c r="I804" s="40">
        <v>77777777</v>
      </c>
      <c r="J804" s="40">
        <v>77777777</v>
      </c>
      <c r="K804" s="46">
        <v>-0.05</v>
      </c>
      <c r="L804" s="46">
        <v>1.51</v>
      </c>
      <c r="M804" s="46">
        <v>18.91</v>
      </c>
      <c r="N804" s="36">
        <v>800</v>
      </c>
      <c r="O804" s="41">
        <v>42998.867928240739</v>
      </c>
    </row>
    <row r="805" spans="2:15" x14ac:dyDescent="0.25">
      <c r="B805" s="36" t="s">
        <v>2868</v>
      </c>
      <c r="C805" s="35" t="s">
        <v>760</v>
      </c>
      <c r="D805" s="36" t="s">
        <v>1804</v>
      </c>
      <c r="E805" s="37">
        <v>1.4000000000000001E-7</v>
      </c>
      <c r="F805" s="42">
        <v>5.6113300000000001E-4</v>
      </c>
      <c r="G805" s="39"/>
      <c r="H805" s="39">
        <v>20564</v>
      </c>
      <c r="I805" s="40">
        <v>36646779</v>
      </c>
      <c r="J805" s="40">
        <v>36646779</v>
      </c>
      <c r="K805" s="46"/>
      <c r="L805" s="46">
        <v>1.62</v>
      </c>
      <c r="M805" s="46">
        <v>-14.29</v>
      </c>
      <c r="N805" s="36">
        <v>801</v>
      </c>
      <c r="O805" s="41">
        <v>42998.655821759261</v>
      </c>
    </row>
    <row r="806" spans="2:15" x14ac:dyDescent="0.25">
      <c r="B806" s="36" t="s">
        <v>2821</v>
      </c>
      <c r="C806" s="35" t="s">
        <v>714</v>
      </c>
      <c r="D806" s="36" t="s">
        <v>1759</v>
      </c>
      <c r="E806" s="37">
        <v>1E-8</v>
      </c>
      <c r="F806" s="38">
        <v>3.97143E-5</v>
      </c>
      <c r="G806" s="39">
        <v>1.39</v>
      </c>
      <c r="H806" s="39">
        <v>20286</v>
      </c>
      <c r="I806" s="40">
        <v>510802961</v>
      </c>
      <c r="J806" s="40">
        <v>510802961</v>
      </c>
      <c r="K806" s="46">
        <v>-0.05</v>
      </c>
      <c r="L806" s="46"/>
      <c r="M806" s="46">
        <v>-48.33</v>
      </c>
      <c r="N806" s="36">
        <v>802</v>
      </c>
      <c r="O806" s="41">
        <v>42998.867824074077</v>
      </c>
    </row>
    <row r="807" spans="2:15" x14ac:dyDescent="0.25">
      <c r="B807" s="36" t="s">
        <v>2846</v>
      </c>
      <c r="C807" s="35" t="s">
        <v>734</v>
      </c>
      <c r="D807" s="36" t="s">
        <v>1778</v>
      </c>
      <c r="E807" s="37">
        <v>2.2999999999999999E-7</v>
      </c>
      <c r="F807" s="38">
        <v>9.13429E-4</v>
      </c>
      <c r="G807" s="39">
        <v>106.941</v>
      </c>
      <c r="H807" s="39">
        <v>20192</v>
      </c>
      <c r="I807" s="40">
        <v>22105501</v>
      </c>
      <c r="J807" s="40">
        <v>22105501</v>
      </c>
      <c r="K807" s="46">
        <v>-0.05</v>
      </c>
      <c r="L807" s="46">
        <v>1.5</v>
      </c>
      <c r="M807" s="46">
        <v>-38.31</v>
      </c>
      <c r="N807" s="36">
        <v>803</v>
      </c>
      <c r="O807" s="41">
        <v>42998.867962962962</v>
      </c>
    </row>
    <row r="808" spans="2:15" x14ac:dyDescent="0.25">
      <c r="B808" s="36" t="s">
        <v>2901</v>
      </c>
      <c r="C808" s="35" t="s">
        <v>790</v>
      </c>
      <c r="D808" s="36" t="s">
        <v>1830</v>
      </c>
      <c r="E808" s="37">
        <v>2.9450100000000001E-3</v>
      </c>
      <c r="F808" s="38">
        <v>11.6959</v>
      </c>
      <c r="G808" s="39">
        <v>77.867400000000004</v>
      </c>
      <c r="H808" s="39">
        <v>20175</v>
      </c>
      <c r="I808" s="40">
        <v>1725</v>
      </c>
      <c r="J808" s="40">
        <v>2154</v>
      </c>
      <c r="K808" s="46">
        <v>-0.05</v>
      </c>
      <c r="L808" s="46">
        <v>19.559999999999999</v>
      </c>
      <c r="M808" s="46">
        <v>53.93</v>
      </c>
      <c r="N808" s="36">
        <v>804</v>
      </c>
      <c r="O808" s="41">
        <v>42998.867974537039</v>
      </c>
    </row>
    <row r="809" spans="2:15" x14ac:dyDescent="0.25">
      <c r="B809" s="36" t="s">
        <v>2896</v>
      </c>
      <c r="C809" s="35" t="s">
        <v>809</v>
      </c>
      <c r="D809" s="36" t="s">
        <v>1849</v>
      </c>
      <c r="E809" s="37">
        <v>1.1599999999999999E-6</v>
      </c>
      <c r="F809" s="38">
        <v>4.6068599999999999E-3</v>
      </c>
      <c r="G809" s="39">
        <v>100.187</v>
      </c>
      <c r="H809" s="39">
        <v>19968</v>
      </c>
      <c r="I809" s="40">
        <v>4334350</v>
      </c>
      <c r="J809" s="40">
        <v>4334350</v>
      </c>
      <c r="K809" s="46">
        <v>-0.05</v>
      </c>
      <c r="L809" s="46">
        <v>160.05000000000001</v>
      </c>
      <c r="M809" s="46">
        <v>36.31</v>
      </c>
      <c r="N809" s="36">
        <v>805</v>
      </c>
      <c r="O809" s="41">
        <v>42998.867812500001</v>
      </c>
    </row>
    <row r="810" spans="2:15" x14ac:dyDescent="0.25">
      <c r="B810" s="36" t="s">
        <v>2882</v>
      </c>
      <c r="C810" s="35" t="s">
        <v>775</v>
      </c>
      <c r="D810" s="36" t="s">
        <v>1816</v>
      </c>
      <c r="E810" s="37">
        <v>6.1500000000000004E-6</v>
      </c>
      <c r="F810" s="38">
        <v>2.2064899999999998E-2</v>
      </c>
      <c r="G810" s="39"/>
      <c r="H810" s="39">
        <v>19727</v>
      </c>
      <c r="I810" s="40">
        <v>894026</v>
      </c>
      <c r="J810" s="40">
        <v>894026</v>
      </c>
      <c r="K810" s="46"/>
      <c r="L810" s="46"/>
      <c r="M810" s="46">
        <v>-7.96</v>
      </c>
      <c r="N810" s="36">
        <v>806</v>
      </c>
      <c r="O810" s="41">
        <v>42995.485995370371</v>
      </c>
    </row>
    <row r="811" spans="2:15" x14ac:dyDescent="0.25">
      <c r="B811" s="36" t="s">
        <v>2828</v>
      </c>
      <c r="C811" s="35" t="s">
        <v>723</v>
      </c>
      <c r="D811" s="36" t="s">
        <v>1767</v>
      </c>
      <c r="E811" s="37">
        <v>8.9999999999999999E-10</v>
      </c>
      <c r="F811" s="38">
        <v>3.7384999999999999E-6</v>
      </c>
      <c r="G811" s="39"/>
      <c r="H811" s="39">
        <v>19445</v>
      </c>
      <c r="I811" s="40">
        <v>5201310113</v>
      </c>
      <c r="J811" s="40">
        <v>12666916683</v>
      </c>
      <c r="K811" s="46"/>
      <c r="L811" s="46">
        <v>0.61</v>
      </c>
      <c r="M811" s="46">
        <v>-33.92</v>
      </c>
      <c r="N811" s="36">
        <v>807</v>
      </c>
      <c r="O811" s="41">
        <v>42998.593182870369</v>
      </c>
    </row>
    <row r="812" spans="2:15" x14ac:dyDescent="0.25">
      <c r="B812" s="36" t="s">
        <v>2878</v>
      </c>
      <c r="C812" s="35" t="s">
        <v>776</v>
      </c>
      <c r="D812" s="36" t="s">
        <v>1817</v>
      </c>
      <c r="E812" s="37">
        <v>1.0100000000000001E-6</v>
      </c>
      <c r="F812" s="38">
        <v>4.0040800000000001E-3</v>
      </c>
      <c r="G812" s="39">
        <v>157.017</v>
      </c>
      <c r="H812" s="39">
        <v>19339</v>
      </c>
      <c r="I812" s="40">
        <v>4829945</v>
      </c>
      <c r="J812" s="40">
        <v>4829945</v>
      </c>
      <c r="K812" s="46">
        <v>-0.05</v>
      </c>
      <c r="L812" s="46">
        <v>24.81</v>
      </c>
      <c r="M812" s="46">
        <v>15.38</v>
      </c>
      <c r="N812" s="36">
        <v>808</v>
      </c>
      <c r="O812" s="41">
        <v>42998.867719907408</v>
      </c>
    </row>
    <row r="813" spans="2:15" x14ac:dyDescent="0.25">
      <c r="B813" s="36" t="s">
        <v>2632</v>
      </c>
      <c r="C813" s="35" t="s">
        <v>518</v>
      </c>
      <c r="D813" s="36" t="s">
        <v>1573</v>
      </c>
      <c r="E813" s="37">
        <v>6.3E-7</v>
      </c>
      <c r="F813" s="38">
        <v>2.5291900000000002E-3</v>
      </c>
      <c r="G813" s="39"/>
      <c r="H813" s="39">
        <v>19314</v>
      </c>
      <c r="I813" s="40">
        <v>7636322</v>
      </c>
      <c r="J813" s="40">
        <v>7836322</v>
      </c>
      <c r="K813" s="46"/>
      <c r="L813" s="46">
        <v>2.2999999999999998</v>
      </c>
      <c r="M813" s="46">
        <v>2.72</v>
      </c>
      <c r="N813" s="36">
        <v>809</v>
      </c>
      <c r="O813" s="41">
        <v>42998.593726851854</v>
      </c>
    </row>
    <row r="814" spans="2:15" x14ac:dyDescent="0.25">
      <c r="B814" s="36" t="s">
        <v>2897</v>
      </c>
      <c r="C814" s="35" t="s">
        <v>792</v>
      </c>
      <c r="D814" s="36" t="s">
        <v>1832</v>
      </c>
      <c r="E814" s="37">
        <v>2.3999999999999998E-7</v>
      </c>
      <c r="F814" s="38">
        <v>9.42274E-4</v>
      </c>
      <c r="G814" s="39"/>
      <c r="H814" s="39">
        <v>19077</v>
      </c>
      <c r="I814" s="40">
        <v>20245510</v>
      </c>
      <c r="J814" s="40">
        <v>20245510</v>
      </c>
      <c r="K814" s="46"/>
      <c r="L814" s="46">
        <v>0.4</v>
      </c>
      <c r="M814" s="46">
        <v>34.35</v>
      </c>
      <c r="N814" s="36">
        <v>810</v>
      </c>
      <c r="O814" s="41">
        <v>42997.888541666667</v>
      </c>
    </row>
    <row r="815" spans="2:15" x14ac:dyDescent="0.25">
      <c r="B815" s="36" t="s">
        <v>2879</v>
      </c>
      <c r="C815" s="35" t="s">
        <v>773</v>
      </c>
      <c r="D815" s="36" t="s">
        <v>773</v>
      </c>
      <c r="E815" s="37">
        <v>5.9999999999999995E-8</v>
      </c>
      <c r="F815" s="38">
        <v>2.3804800000000001E-4</v>
      </c>
      <c r="G815" s="39"/>
      <c r="H815" s="39">
        <v>18935</v>
      </c>
      <c r="I815" s="40">
        <v>79541001</v>
      </c>
      <c r="J815" s="40">
        <v>79541001</v>
      </c>
      <c r="K815" s="46"/>
      <c r="L815" s="46"/>
      <c r="M815" s="46">
        <v>-15.98</v>
      </c>
      <c r="N815" s="36">
        <v>811</v>
      </c>
      <c r="O815" s="41">
        <v>42997.58997685185</v>
      </c>
    </row>
    <row r="816" spans="2:15" x14ac:dyDescent="0.25">
      <c r="B816" s="36" t="s">
        <v>2865</v>
      </c>
      <c r="C816" s="35" t="s">
        <v>770</v>
      </c>
      <c r="D816" s="36" t="s">
        <v>1813</v>
      </c>
      <c r="E816" s="37">
        <v>3.2100000000000002E-6</v>
      </c>
      <c r="F816" s="38">
        <v>1.27361E-2</v>
      </c>
      <c r="G816" s="39">
        <v>126.029</v>
      </c>
      <c r="H816" s="39">
        <v>18795</v>
      </c>
      <c r="I816" s="40">
        <v>1475728</v>
      </c>
      <c r="J816" s="40">
        <v>1475728</v>
      </c>
      <c r="K816" s="46">
        <v>-0.05</v>
      </c>
      <c r="L816" s="46">
        <v>6.12</v>
      </c>
      <c r="M816" s="46">
        <v>2.73</v>
      </c>
      <c r="N816" s="36">
        <v>812</v>
      </c>
      <c r="O816" s="41">
        <v>42998.867800925924</v>
      </c>
    </row>
    <row r="817" spans="2:15" x14ac:dyDescent="0.25">
      <c r="B817" s="36" t="s">
        <v>2877</v>
      </c>
      <c r="C817" s="35" t="s">
        <v>793</v>
      </c>
      <c r="D817" s="36" t="s">
        <v>1833</v>
      </c>
      <c r="E817" s="37">
        <v>1.4999999999999999E-7</v>
      </c>
      <c r="F817" s="38">
        <v>5.9490499999999996E-4</v>
      </c>
      <c r="G817" s="39">
        <v>5.8381999999999996</v>
      </c>
      <c r="H817" s="39">
        <v>17983</v>
      </c>
      <c r="I817" s="40">
        <v>30227750</v>
      </c>
      <c r="J817" s="40">
        <v>30227750</v>
      </c>
      <c r="K817" s="46">
        <v>-0.05</v>
      </c>
      <c r="L817" s="46">
        <v>90.06</v>
      </c>
      <c r="M817" s="46">
        <v>20.69</v>
      </c>
      <c r="N817" s="36">
        <v>813</v>
      </c>
      <c r="O817" s="41">
        <v>42998.86791666667</v>
      </c>
    </row>
    <row r="818" spans="2:15" x14ac:dyDescent="0.25">
      <c r="B818" s="36" t="s">
        <v>2880</v>
      </c>
      <c r="C818" s="35" t="s">
        <v>755</v>
      </c>
      <c r="D818" s="36" t="s">
        <v>1799</v>
      </c>
      <c r="E818" s="37">
        <v>1.4999999999999999E-7</v>
      </c>
      <c r="F818" s="38">
        <v>5.9571400000000001E-4</v>
      </c>
      <c r="G818" s="39">
        <v>1.4860599999999999</v>
      </c>
      <c r="H818" s="39">
        <v>17909</v>
      </c>
      <c r="I818" s="40">
        <v>30063260</v>
      </c>
      <c r="J818" s="40">
        <v>530063260</v>
      </c>
      <c r="K818" s="46">
        <v>-0.05</v>
      </c>
      <c r="L818" s="46">
        <v>8.75</v>
      </c>
      <c r="M818" s="46">
        <v>-4.5599999999999996</v>
      </c>
      <c r="N818" s="36">
        <v>814</v>
      </c>
      <c r="O818" s="41">
        <v>42998.867789351854</v>
      </c>
    </row>
    <row r="819" spans="2:15" x14ac:dyDescent="0.25">
      <c r="B819" s="36" t="s">
        <v>2857</v>
      </c>
      <c r="C819" s="35" t="s">
        <v>748</v>
      </c>
      <c r="D819" s="36" t="s">
        <v>1792</v>
      </c>
      <c r="E819" s="37">
        <v>3.1E-7</v>
      </c>
      <c r="F819" s="38">
        <v>1.24471E-3</v>
      </c>
      <c r="G819" s="39">
        <v>35.247999999999998</v>
      </c>
      <c r="H819" s="39">
        <v>17530</v>
      </c>
      <c r="I819" s="40">
        <v>14083450</v>
      </c>
      <c r="J819" s="40">
        <v>14083450</v>
      </c>
      <c r="K819" s="46">
        <v>1.83</v>
      </c>
      <c r="L819" s="46">
        <v>9.39</v>
      </c>
      <c r="M819" s="46">
        <v>-2.7</v>
      </c>
      <c r="N819" s="36">
        <v>815</v>
      </c>
      <c r="O819" s="41">
        <v>42998.867847222224</v>
      </c>
    </row>
    <row r="820" spans="2:15" x14ac:dyDescent="0.25">
      <c r="B820" s="36" t="s">
        <v>2885</v>
      </c>
      <c r="C820" s="35" t="s">
        <v>525</v>
      </c>
      <c r="D820" s="36" t="s">
        <v>1580</v>
      </c>
      <c r="E820" s="37">
        <v>4.0000000000000001E-8</v>
      </c>
      <c r="F820" s="38">
        <v>1.5885699999999999E-4</v>
      </c>
      <c r="G820" s="39">
        <v>37.719000000000001</v>
      </c>
      <c r="H820" s="39">
        <v>17396</v>
      </c>
      <c r="I820" s="40">
        <v>109508813</v>
      </c>
      <c r="J820" s="40">
        <v>109508813</v>
      </c>
      <c r="K820" s="46">
        <v>99.91</v>
      </c>
      <c r="L820" s="46">
        <v>-18.96</v>
      </c>
      <c r="M820" s="46">
        <v>-15.01</v>
      </c>
      <c r="N820" s="36">
        <v>816</v>
      </c>
      <c r="O820" s="41">
        <v>42998.86787037037</v>
      </c>
    </row>
    <row r="821" spans="2:15" x14ac:dyDescent="0.25">
      <c r="B821" s="36" t="s">
        <v>2886</v>
      </c>
      <c r="C821" s="35" t="s">
        <v>782</v>
      </c>
      <c r="D821" s="36" t="s">
        <v>1822</v>
      </c>
      <c r="E821" s="37">
        <v>1.1999999999999999E-7</v>
      </c>
      <c r="F821" s="38">
        <v>4.7657199999999998E-4</v>
      </c>
      <c r="G821" s="39">
        <v>19.7301</v>
      </c>
      <c r="H821" s="39">
        <v>17124</v>
      </c>
      <c r="I821" s="40">
        <v>35932487</v>
      </c>
      <c r="J821" s="40">
        <v>35932487</v>
      </c>
      <c r="K821" s="46">
        <v>-0.05</v>
      </c>
      <c r="L821" s="46">
        <v>1.51</v>
      </c>
      <c r="M821" s="46">
        <v>-7.55</v>
      </c>
      <c r="N821" s="36">
        <v>817</v>
      </c>
      <c r="O821" s="41">
        <v>42998.867928240739</v>
      </c>
    </row>
    <row r="822" spans="2:15" x14ac:dyDescent="0.25">
      <c r="B822" s="36" t="s">
        <v>2898</v>
      </c>
      <c r="C822" s="35" t="s">
        <v>789</v>
      </c>
      <c r="D822" s="36" t="s">
        <v>1829</v>
      </c>
      <c r="E822" s="37">
        <v>1.6500000000000001E-6</v>
      </c>
      <c r="F822" s="38">
        <v>6.5480900000000003E-3</v>
      </c>
      <c r="G822" s="39"/>
      <c r="H822" s="39">
        <v>16907</v>
      </c>
      <c r="I822" s="40">
        <v>2581970</v>
      </c>
      <c r="J822" s="40">
        <v>2581970</v>
      </c>
      <c r="K822" s="46">
        <v>-0.19</v>
      </c>
      <c r="L822" s="46">
        <v>4.82</v>
      </c>
      <c r="M822" s="46">
        <v>14.51</v>
      </c>
      <c r="N822" s="36">
        <v>818</v>
      </c>
      <c r="O822" s="41">
        <v>42998.864201388889</v>
      </c>
    </row>
    <row r="823" spans="2:15" x14ac:dyDescent="0.25">
      <c r="B823" s="36" t="s">
        <v>2778</v>
      </c>
      <c r="C823" s="35" t="s">
        <v>648</v>
      </c>
      <c r="D823" s="36" t="s">
        <v>648</v>
      </c>
      <c r="E823" s="37">
        <v>4.9999999999999998E-8</v>
      </c>
      <c r="F823" s="38">
        <v>1.89428E-4</v>
      </c>
      <c r="G823" s="39">
        <v>14.371600000000001</v>
      </c>
      <c r="H823" s="39">
        <v>16885</v>
      </c>
      <c r="I823" s="40">
        <v>89135015</v>
      </c>
      <c r="J823" s="40">
        <v>89135015</v>
      </c>
      <c r="K823" s="46">
        <v>-0.05</v>
      </c>
      <c r="L823" s="46"/>
      <c r="M823" s="46">
        <v>-78.28</v>
      </c>
      <c r="N823" s="36">
        <v>819</v>
      </c>
      <c r="O823" s="41">
        <v>42998.867789351854</v>
      </c>
    </row>
    <row r="824" spans="2:15" x14ac:dyDescent="0.25">
      <c r="B824" s="36" t="s">
        <v>2658</v>
      </c>
      <c r="C824" s="35" t="s">
        <v>543</v>
      </c>
      <c r="D824" s="36" t="s">
        <v>1597</v>
      </c>
      <c r="E824" s="37">
        <v>4.0000000000000001E-8</v>
      </c>
      <c r="F824" s="38">
        <v>1.6038900000000001E-4</v>
      </c>
      <c r="G824" s="39"/>
      <c r="H824" s="39">
        <v>16862</v>
      </c>
      <c r="I824" s="40">
        <v>105132089</v>
      </c>
      <c r="J824" s="40">
        <v>105132089</v>
      </c>
      <c r="K824" s="46"/>
      <c r="L824" s="46">
        <v>2.48</v>
      </c>
      <c r="M824" s="46">
        <v>-95.37</v>
      </c>
      <c r="N824" s="36">
        <v>820</v>
      </c>
      <c r="O824" s="41">
        <v>42998.593136574076</v>
      </c>
    </row>
    <row r="825" spans="2:15" x14ac:dyDescent="0.25">
      <c r="B825" s="36" t="s">
        <v>2815</v>
      </c>
      <c r="C825" s="35" t="s">
        <v>725</v>
      </c>
      <c r="D825" s="36" t="s">
        <v>1769</v>
      </c>
      <c r="E825" s="37">
        <v>1.3E-7</v>
      </c>
      <c r="F825" s="38">
        <v>5.1685700000000002E-4</v>
      </c>
      <c r="G825" s="39">
        <v>11.3276</v>
      </c>
      <c r="H825" s="39">
        <v>16832</v>
      </c>
      <c r="I825" s="40">
        <v>32565300</v>
      </c>
      <c r="J825" s="40">
        <v>32565300</v>
      </c>
      <c r="K825" s="46">
        <v>-3.66</v>
      </c>
      <c r="L825" s="46">
        <v>-16.14</v>
      </c>
      <c r="M825" s="46">
        <v>-32.590000000000003</v>
      </c>
      <c r="N825" s="36">
        <v>821</v>
      </c>
      <c r="O825" s="41">
        <v>42998.867592592593</v>
      </c>
    </row>
    <row r="826" spans="2:15" x14ac:dyDescent="0.25">
      <c r="B826" s="36" t="s">
        <v>2636</v>
      </c>
      <c r="C826" s="35" t="s">
        <v>517</v>
      </c>
      <c r="D826" s="36" t="s">
        <v>1572</v>
      </c>
      <c r="E826" s="37">
        <v>5.9999999999999995E-8</v>
      </c>
      <c r="F826" s="38">
        <v>2.3828599999999999E-4</v>
      </c>
      <c r="G826" s="39">
        <v>236.172</v>
      </c>
      <c r="H826" s="39">
        <v>16680</v>
      </c>
      <c r="I826" s="40">
        <v>70000000</v>
      </c>
      <c r="J826" s="40">
        <v>70000000</v>
      </c>
      <c r="K826" s="46">
        <v>-0.05</v>
      </c>
      <c r="L826" s="46">
        <v>-31.7</v>
      </c>
      <c r="M826" s="46">
        <v>49.46</v>
      </c>
      <c r="N826" s="36">
        <v>822</v>
      </c>
      <c r="O826" s="41">
        <v>42998.867974537039</v>
      </c>
    </row>
    <row r="827" spans="2:15" x14ac:dyDescent="0.25">
      <c r="B827" s="36" t="s">
        <v>2867</v>
      </c>
      <c r="C827" s="35" t="s">
        <v>761</v>
      </c>
      <c r="D827" s="36" t="s">
        <v>1805</v>
      </c>
      <c r="E827" s="37">
        <v>5.5500000000000002E-6</v>
      </c>
      <c r="F827" s="38">
        <v>2.2041399999999999E-2</v>
      </c>
      <c r="G827" s="39">
        <v>16.3306</v>
      </c>
      <c r="H827" s="39">
        <v>16614</v>
      </c>
      <c r="I827" s="40">
        <v>753776</v>
      </c>
      <c r="J827" s="40">
        <v>9601412</v>
      </c>
      <c r="K827" s="46">
        <v>-0.05</v>
      </c>
      <c r="L827" s="46">
        <v>-0.99</v>
      </c>
      <c r="M827" s="46">
        <v>-19.53</v>
      </c>
      <c r="N827" s="36">
        <v>823</v>
      </c>
      <c r="O827" s="41">
        <v>42998.867847222224</v>
      </c>
    </row>
    <row r="828" spans="2:15" x14ac:dyDescent="0.25">
      <c r="B828" s="36" t="s">
        <v>2611</v>
      </c>
      <c r="C828" s="35" t="s">
        <v>501</v>
      </c>
      <c r="D828" s="36" t="s">
        <v>1556</v>
      </c>
      <c r="E828" s="37">
        <v>1E-8</v>
      </c>
      <c r="F828" s="38">
        <v>4.0451499999999997E-5</v>
      </c>
      <c r="G828" s="39">
        <v>183.279</v>
      </c>
      <c r="H828" s="39">
        <v>16429</v>
      </c>
      <c r="I828" s="40">
        <v>406141855</v>
      </c>
      <c r="J828" s="40">
        <v>406141855</v>
      </c>
      <c r="K828" s="46">
        <v>-0.11</v>
      </c>
      <c r="L828" s="46">
        <v>7.82</v>
      </c>
      <c r="M828" s="46">
        <v>-43.39</v>
      </c>
      <c r="N828" s="36">
        <v>824</v>
      </c>
      <c r="O828" s="41">
        <v>42998.867615740739</v>
      </c>
    </row>
    <row r="829" spans="2:15" x14ac:dyDescent="0.25">
      <c r="B829" s="36" t="s">
        <v>2890</v>
      </c>
      <c r="C829" s="35" t="s">
        <v>777</v>
      </c>
      <c r="D829" s="36" t="s">
        <v>1818</v>
      </c>
      <c r="E829" s="37">
        <v>1.4999999999999999E-7</v>
      </c>
      <c r="F829" s="38">
        <v>5.9571400000000001E-4</v>
      </c>
      <c r="G829" s="39">
        <v>388.57600000000002</v>
      </c>
      <c r="H829" s="39">
        <v>16234</v>
      </c>
      <c r="I829" s="40">
        <v>27251500</v>
      </c>
      <c r="J829" s="40">
        <v>27251500</v>
      </c>
      <c r="K829" s="46">
        <v>-0.05</v>
      </c>
      <c r="L829" s="46">
        <v>17.12</v>
      </c>
      <c r="M829" s="46">
        <v>17.579999999999998</v>
      </c>
      <c r="N829" s="36">
        <v>825</v>
      </c>
      <c r="O829" s="41">
        <v>42998.8674537037</v>
      </c>
    </row>
    <row r="830" spans="2:15" x14ac:dyDescent="0.25">
      <c r="B830" s="36" t="s">
        <v>2624</v>
      </c>
      <c r="C830" s="35" t="s">
        <v>704</v>
      </c>
      <c r="D830" s="36" t="s">
        <v>1749</v>
      </c>
      <c r="E830" s="37">
        <v>1.288E-5</v>
      </c>
      <c r="F830" s="38">
        <v>5.11514E-2</v>
      </c>
      <c r="G830" s="39">
        <v>80.620900000000006</v>
      </c>
      <c r="H830" s="39">
        <v>16173</v>
      </c>
      <c r="I830" s="40">
        <v>316179</v>
      </c>
      <c r="J830" s="40">
        <v>1316179</v>
      </c>
      <c r="K830" s="46">
        <v>-0.04</v>
      </c>
      <c r="L830" s="46">
        <v>-17.2</v>
      </c>
      <c r="M830" s="46">
        <v>-39.93</v>
      </c>
      <c r="N830" s="36">
        <v>826</v>
      </c>
      <c r="O830" s="41">
        <v>42998.867893518516</v>
      </c>
    </row>
    <row r="831" spans="2:15" x14ac:dyDescent="0.25">
      <c r="B831" s="36" t="s">
        <v>2832</v>
      </c>
      <c r="C831" s="35" t="s">
        <v>724</v>
      </c>
      <c r="D831" s="36" t="s">
        <v>1768</v>
      </c>
      <c r="E831" s="37">
        <v>3.8000000000000001E-7</v>
      </c>
      <c r="F831" s="38">
        <v>1.50914E-3</v>
      </c>
      <c r="G831" s="39">
        <v>38.004800000000003</v>
      </c>
      <c r="H831" s="39">
        <v>15846</v>
      </c>
      <c r="I831" s="40">
        <v>10499996</v>
      </c>
      <c r="J831" s="40">
        <v>10499996</v>
      </c>
      <c r="K831" s="46">
        <v>-0.05</v>
      </c>
      <c r="L831" s="46">
        <v>-38.770000000000003</v>
      </c>
      <c r="M831" s="46">
        <v>-42.2</v>
      </c>
      <c r="N831" s="36">
        <v>827</v>
      </c>
      <c r="O831" s="41">
        <v>42998.867662037039</v>
      </c>
    </row>
    <row r="832" spans="2:15" x14ac:dyDescent="0.25">
      <c r="B832" s="36" t="s">
        <v>2854</v>
      </c>
      <c r="C832" s="35" t="s">
        <v>758</v>
      </c>
      <c r="D832" s="36" t="s">
        <v>1802</v>
      </c>
      <c r="E832" s="37">
        <v>6E-9</v>
      </c>
      <c r="F832" s="38">
        <v>2.56223E-5</v>
      </c>
      <c r="G832" s="39">
        <v>10.7018</v>
      </c>
      <c r="H832" s="39">
        <v>15593</v>
      </c>
      <c r="I832" s="40">
        <v>608557394</v>
      </c>
      <c r="J832" s="40">
        <v>608557394</v>
      </c>
      <c r="K832" s="46">
        <v>-2.42</v>
      </c>
      <c r="L832" s="46">
        <v>-11.52</v>
      </c>
      <c r="M832" s="46">
        <v>-20.85</v>
      </c>
      <c r="N832" s="36">
        <v>828</v>
      </c>
      <c r="O832" s="41">
        <v>42998.867546296293</v>
      </c>
    </row>
    <row r="833" spans="2:15" x14ac:dyDescent="0.25">
      <c r="B833" s="36" t="s">
        <v>2894</v>
      </c>
      <c r="C833" s="35" t="s">
        <v>786</v>
      </c>
      <c r="D833" s="36" t="s">
        <v>1826</v>
      </c>
      <c r="E833" s="37">
        <v>4.8000000000000001E-5</v>
      </c>
      <c r="F833" s="38">
        <v>0.19062899999999999</v>
      </c>
      <c r="G833" s="39">
        <v>0.39304899999999998</v>
      </c>
      <c r="H833" s="39">
        <v>15111</v>
      </c>
      <c r="I833" s="40">
        <v>79270</v>
      </c>
      <c r="J833" s="40">
        <v>10079270</v>
      </c>
      <c r="K833" s="46">
        <v>-0.05</v>
      </c>
      <c r="L833" s="46">
        <v>1.51</v>
      </c>
      <c r="M833" s="46">
        <v>1.92</v>
      </c>
      <c r="N833" s="36">
        <v>829</v>
      </c>
      <c r="O833" s="41">
        <v>42998.867476851854</v>
      </c>
    </row>
    <row r="834" spans="2:15" x14ac:dyDescent="0.25">
      <c r="B834" s="36" t="s">
        <v>2892</v>
      </c>
      <c r="C834" s="35" t="s">
        <v>785</v>
      </c>
      <c r="D834" s="36" t="s">
        <v>1825</v>
      </c>
      <c r="E834" s="37">
        <v>8.6000000000000002E-7</v>
      </c>
      <c r="F834" s="38">
        <v>3.4154300000000001E-3</v>
      </c>
      <c r="G834" s="39">
        <v>223.202</v>
      </c>
      <c r="H834" s="39">
        <v>15010</v>
      </c>
      <c r="I834" s="40">
        <v>4394874</v>
      </c>
      <c r="J834" s="40">
        <v>4394874</v>
      </c>
      <c r="K834" s="46">
        <v>-0.05</v>
      </c>
      <c r="L834" s="46">
        <v>-15.96</v>
      </c>
      <c r="M834" s="46">
        <v>-16.54</v>
      </c>
      <c r="N834" s="36">
        <v>830</v>
      </c>
      <c r="O834" s="41">
        <v>42998.867604166669</v>
      </c>
    </row>
    <row r="835" spans="2:15" x14ac:dyDescent="0.25">
      <c r="B835" s="36" t="s">
        <v>2629</v>
      </c>
      <c r="C835" s="35" t="s">
        <v>514</v>
      </c>
      <c r="D835" s="36" t="s">
        <v>1569</v>
      </c>
      <c r="E835" s="37">
        <v>4.4000000000000002E-7</v>
      </c>
      <c r="F835" s="38">
        <v>1.7618600000000001E-3</v>
      </c>
      <c r="G835" s="39">
        <v>126.81399999999999</v>
      </c>
      <c r="H835" s="39">
        <v>14838</v>
      </c>
      <c r="I835" s="40">
        <v>8422000</v>
      </c>
      <c r="J835" s="40">
        <v>25022000</v>
      </c>
      <c r="K835" s="46">
        <v>-0.05</v>
      </c>
      <c r="L835" s="46">
        <v>3.87</v>
      </c>
      <c r="M835" s="46">
        <v>1.35</v>
      </c>
      <c r="N835" s="36">
        <v>831</v>
      </c>
      <c r="O835" s="41">
        <v>42998.867997685185</v>
      </c>
    </row>
    <row r="836" spans="2:15" x14ac:dyDescent="0.25">
      <c r="B836" s="36" t="s">
        <v>2887</v>
      </c>
      <c r="C836" s="35" t="s">
        <v>771</v>
      </c>
      <c r="D836" s="36" t="s">
        <v>771</v>
      </c>
      <c r="E836" s="37">
        <v>5.9999999999999995E-8</v>
      </c>
      <c r="F836" s="38">
        <v>2.3828599999999999E-4</v>
      </c>
      <c r="G836" s="39">
        <v>5.5830000000000002</v>
      </c>
      <c r="H836" s="39">
        <v>14297</v>
      </c>
      <c r="I836" s="40">
        <v>60000001</v>
      </c>
      <c r="J836" s="40">
        <v>60000001</v>
      </c>
      <c r="K836" s="46">
        <v>-0.05</v>
      </c>
      <c r="L836" s="46">
        <v>1.51</v>
      </c>
      <c r="M836" s="46">
        <v>1.92</v>
      </c>
      <c r="N836" s="36">
        <v>832</v>
      </c>
      <c r="O836" s="41">
        <v>42998.867928240739</v>
      </c>
    </row>
    <row r="837" spans="2:15" x14ac:dyDescent="0.25">
      <c r="B837" s="36" t="s">
        <v>2907</v>
      </c>
      <c r="C837" s="35" t="s">
        <v>523</v>
      </c>
      <c r="D837" s="36" t="s">
        <v>1578</v>
      </c>
      <c r="E837" s="37">
        <v>1.508E-5</v>
      </c>
      <c r="F837" s="38">
        <v>5.9889199999999997E-2</v>
      </c>
      <c r="G837" s="39">
        <v>264.15800000000002</v>
      </c>
      <c r="H837" s="39">
        <v>14160</v>
      </c>
      <c r="I837" s="40">
        <v>236430</v>
      </c>
      <c r="J837" s="40">
        <v>10000236430</v>
      </c>
      <c r="K837" s="46">
        <v>-5.07</v>
      </c>
      <c r="L837" s="46">
        <v>8.7799999999999994</v>
      </c>
      <c r="M837" s="46">
        <v>3.12</v>
      </c>
      <c r="N837" s="36">
        <v>833</v>
      </c>
      <c r="O837" s="41">
        <v>42998.867754629631</v>
      </c>
    </row>
    <row r="838" spans="2:15" x14ac:dyDescent="0.25">
      <c r="B838" s="36" t="s">
        <v>2889</v>
      </c>
      <c r="C838" s="35" t="s">
        <v>784</v>
      </c>
      <c r="D838" s="36" t="s">
        <v>1824</v>
      </c>
      <c r="E838" s="37">
        <v>6.3E-7</v>
      </c>
      <c r="F838" s="38">
        <v>2.5019999999999999E-3</v>
      </c>
      <c r="G838" s="39">
        <v>31.077200000000001</v>
      </c>
      <c r="H838" s="39">
        <v>13886</v>
      </c>
      <c r="I838" s="40">
        <v>5550102</v>
      </c>
      <c r="J838" s="40">
        <v>5550102</v>
      </c>
      <c r="K838" s="46">
        <v>-0.56999999999999995</v>
      </c>
      <c r="L838" s="46">
        <v>-3.84</v>
      </c>
      <c r="M838" s="46">
        <v>-0.17</v>
      </c>
      <c r="N838" s="36">
        <v>834</v>
      </c>
      <c r="O838" s="41">
        <v>42998.867604166669</v>
      </c>
    </row>
    <row r="839" spans="2:15" x14ac:dyDescent="0.25">
      <c r="B839" s="36" t="s">
        <v>2893</v>
      </c>
      <c r="C839" s="35" t="s">
        <v>788</v>
      </c>
      <c r="D839" s="36" t="s">
        <v>1828</v>
      </c>
      <c r="E839" s="37">
        <v>1.3799999999999999E-6</v>
      </c>
      <c r="F839" s="38">
        <v>5.3988999999999999E-3</v>
      </c>
      <c r="G839" s="39"/>
      <c r="H839" s="39">
        <v>13245</v>
      </c>
      <c r="I839" s="40">
        <v>2453240</v>
      </c>
      <c r="J839" s="40">
        <v>2453240</v>
      </c>
      <c r="K839" s="46"/>
      <c r="L839" s="46">
        <v>-0.01</v>
      </c>
      <c r="M839" s="46">
        <v>-27.62</v>
      </c>
      <c r="N839" s="36">
        <v>835</v>
      </c>
      <c r="O839" s="41">
        <v>42998.037731481483</v>
      </c>
    </row>
    <row r="840" spans="2:15" x14ac:dyDescent="0.25">
      <c r="B840" s="36" t="s">
        <v>2899</v>
      </c>
      <c r="C840" s="35" t="s">
        <v>794</v>
      </c>
      <c r="D840" s="36" t="s">
        <v>1834</v>
      </c>
      <c r="E840" s="37">
        <v>2.9999999999999997E-8</v>
      </c>
      <c r="F840" s="38">
        <v>1.1914299999999999E-4</v>
      </c>
      <c r="G840" s="39">
        <v>22.665099999999999</v>
      </c>
      <c r="H840" s="39">
        <v>12631</v>
      </c>
      <c r="I840" s="40">
        <v>106019270</v>
      </c>
      <c r="J840" s="40">
        <v>200019300</v>
      </c>
      <c r="K840" s="46">
        <v>-0.05</v>
      </c>
      <c r="L840" s="46">
        <v>1.51</v>
      </c>
      <c r="M840" s="46">
        <v>-2.04</v>
      </c>
      <c r="N840" s="36">
        <v>836</v>
      </c>
      <c r="O840" s="41">
        <v>42998.867766203701</v>
      </c>
    </row>
    <row r="841" spans="2:15" x14ac:dyDescent="0.25">
      <c r="B841" s="36" t="s">
        <v>2858</v>
      </c>
      <c r="C841" s="35" t="s">
        <v>749</v>
      </c>
      <c r="D841" s="36" t="s">
        <v>1793</v>
      </c>
      <c r="E841" s="37">
        <v>7.0999999999999998E-7</v>
      </c>
      <c r="F841" s="38">
        <v>2.7846500000000001E-3</v>
      </c>
      <c r="G841" s="39"/>
      <c r="H841" s="39">
        <v>12604</v>
      </c>
      <c r="I841" s="40">
        <v>4526324</v>
      </c>
      <c r="J841" s="40">
        <v>4526324</v>
      </c>
      <c r="K841" s="46"/>
      <c r="L841" s="46">
        <v>0.24</v>
      </c>
      <c r="M841" s="46">
        <v>-48.82</v>
      </c>
      <c r="N841" s="36">
        <v>837</v>
      </c>
      <c r="O841" s="41">
        <v>42998.465046296296</v>
      </c>
    </row>
    <row r="842" spans="2:15" x14ac:dyDescent="0.25">
      <c r="B842" s="36" t="s">
        <v>2916</v>
      </c>
      <c r="C842" s="35" t="s">
        <v>798</v>
      </c>
      <c r="D842" s="36" t="s">
        <v>1838</v>
      </c>
      <c r="E842" s="37">
        <v>7.9999999999999996E-7</v>
      </c>
      <c r="F842" s="38">
        <v>3.1771400000000002E-3</v>
      </c>
      <c r="G842" s="39">
        <v>9.5314300000000003</v>
      </c>
      <c r="H842" s="39">
        <v>12069</v>
      </c>
      <c r="I842" s="40">
        <v>3798645</v>
      </c>
      <c r="J842" s="40">
        <v>253798645</v>
      </c>
      <c r="K842" s="46">
        <v>-0.05</v>
      </c>
      <c r="L842" s="46">
        <v>59.22</v>
      </c>
      <c r="M842" s="46">
        <v>13.04</v>
      </c>
      <c r="N842" s="36">
        <v>838</v>
      </c>
      <c r="O842" s="41">
        <v>42998.867824074077</v>
      </c>
    </row>
    <row r="843" spans="2:15" x14ac:dyDescent="0.25">
      <c r="B843" s="36" t="s">
        <v>2895</v>
      </c>
      <c r="C843" s="35" t="s">
        <v>796</v>
      </c>
      <c r="D843" s="36" t="s">
        <v>1836</v>
      </c>
      <c r="E843" s="37">
        <v>8.8000000000000004E-7</v>
      </c>
      <c r="F843" s="38">
        <v>3.5095399999999998E-3</v>
      </c>
      <c r="G843" s="39">
        <v>3.0322399999999998</v>
      </c>
      <c r="H843" s="39">
        <v>11764</v>
      </c>
      <c r="I843" s="40">
        <v>3352126</v>
      </c>
      <c r="J843" s="40">
        <v>6000000</v>
      </c>
      <c r="K843" s="46">
        <v>0.02</v>
      </c>
      <c r="L843" s="46">
        <v>1.72</v>
      </c>
      <c r="M843" s="46">
        <v>-31.84</v>
      </c>
      <c r="N843" s="36">
        <v>839</v>
      </c>
      <c r="O843" s="41">
        <v>42998.867847222224</v>
      </c>
    </row>
    <row r="844" spans="2:15" x14ac:dyDescent="0.25">
      <c r="B844" s="36" t="s">
        <v>2911</v>
      </c>
      <c r="C844" s="35" t="s">
        <v>806</v>
      </c>
      <c r="D844" s="36" t="s">
        <v>1846</v>
      </c>
      <c r="E844" s="37">
        <v>3.3000000000000002E-6</v>
      </c>
      <c r="F844" s="38">
        <v>1.31057E-2</v>
      </c>
      <c r="G844" s="39">
        <v>15.3931</v>
      </c>
      <c r="H844" s="39">
        <v>11608</v>
      </c>
      <c r="I844" s="40">
        <v>885756</v>
      </c>
      <c r="J844" s="40">
        <v>985756</v>
      </c>
      <c r="K844" s="46">
        <v>-0.05</v>
      </c>
      <c r="L844" s="46">
        <v>-6</v>
      </c>
      <c r="M844" s="46">
        <v>-32.67</v>
      </c>
      <c r="N844" s="36">
        <v>840</v>
      </c>
      <c r="O844" s="41">
        <v>42998.86787037037</v>
      </c>
    </row>
    <row r="845" spans="2:15" x14ac:dyDescent="0.25">
      <c r="B845" s="36" t="s">
        <v>2904</v>
      </c>
      <c r="C845" s="35" t="s">
        <v>799</v>
      </c>
      <c r="D845" s="36" t="s">
        <v>1839</v>
      </c>
      <c r="E845" s="37">
        <v>9.2999999999999999E-7</v>
      </c>
      <c r="F845" s="38">
        <v>3.75349E-3</v>
      </c>
      <c r="G845" s="39"/>
      <c r="H845" s="39">
        <v>11504</v>
      </c>
      <c r="I845" s="40">
        <v>3064800</v>
      </c>
      <c r="J845" s="40">
        <v>3064800</v>
      </c>
      <c r="K845" s="46"/>
      <c r="L845" s="46"/>
      <c r="M845" s="46">
        <v>-20.190000000000001</v>
      </c>
      <c r="N845" s="36">
        <v>841</v>
      </c>
      <c r="O845" s="41">
        <v>42996.645370370374</v>
      </c>
    </row>
    <row r="846" spans="2:15" x14ac:dyDescent="0.25">
      <c r="B846" s="36" t="s">
        <v>3039</v>
      </c>
      <c r="C846" s="35" t="s">
        <v>920</v>
      </c>
      <c r="D846" s="36" t="s">
        <v>1952</v>
      </c>
      <c r="E846" s="37">
        <v>37</v>
      </c>
      <c r="F846" s="38">
        <v>146943</v>
      </c>
      <c r="G846" s="39">
        <v>193.28700000000001</v>
      </c>
      <c r="H846" s="39">
        <v>11500</v>
      </c>
      <c r="I846" s="40">
        <v>0</v>
      </c>
      <c r="J846" s="40">
        <v>1</v>
      </c>
      <c r="K846" s="46">
        <v>2.73</v>
      </c>
      <c r="L846" s="46">
        <v>-10.58</v>
      </c>
      <c r="M846" s="46">
        <v>-28.54</v>
      </c>
      <c r="N846" s="36">
        <v>842</v>
      </c>
      <c r="O846" s="41">
        <v>42998.867928240739</v>
      </c>
    </row>
    <row r="847" spans="2:15" x14ac:dyDescent="0.25">
      <c r="B847" s="36" t="s">
        <v>2903</v>
      </c>
      <c r="C847" s="35" t="s">
        <v>797</v>
      </c>
      <c r="D847" s="36" t="s">
        <v>1837</v>
      </c>
      <c r="E847" s="37">
        <v>3.8399999999999997E-6</v>
      </c>
      <c r="F847" s="38">
        <v>1.52503E-2</v>
      </c>
      <c r="G847" s="39">
        <v>25.137</v>
      </c>
      <c r="H847" s="39">
        <v>11350</v>
      </c>
      <c r="I847" s="40">
        <v>744266</v>
      </c>
      <c r="J847" s="40">
        <v>1595266</v>
      </c>
      <c r="K847" s="46">
        <v>-0.12</v>
      </c>
      <c r="L847" s="46">
        <v>14.24</v>
      </c>
      <c r="M847" s="46">
        <v>-11.45</v>
      </c>
      <c r="N847" s="36">
        <v>843</v>
      </c>
      <c r="O847" s="41">
        <v>42998.867881944447</v>
      </c>
    </row>
    <row r="848" spans="2:15" x14ac:dyDescent="0.25">
      <c r="B848" s="36" t="s">
        <v>2873</v>
      </c>
      <c r="C848" s="35" t="s">
        <v>774</v>
      </c>
      <c r="D848" s="36" t="s">
        <v>1815</v>
      </c>
      <c r="E848" s="37">
        <v>5.8499999999999999E-6</v>
      </c>
      <c r="F848" s="38">
        <v>2.3314000000000001E-2</v>
      </c>
      <c r="G848" s="39"/>
      <c r="H848" s="39">
        <v>9792</v>
      </c>
      <c r="I848" s="40">
        <v>420000</v>
      </c>
      <c r="J848" s="40">
        <v>420000</v>
      </c>
      <c r="K848" s="46"/>
      <c r="L848" s="46"/>
      <c r="M848" s="46">
        <v>-43.05</v>
      </c>
      <c r="N848" s="36">
        <v>844</v>
      </c>
      <c r="O848" s="41">
        <v>42997.79824074074</v>
      </c>
    </row>
    <row r="849" spans="2:15" x14ac:dyDescent="0.25">
      <c r="B849" s="36" t="s">
        <v>2908</v>
      </c>
      <c r="C849" s="35" t="s">
        <v>808</v>
      </c>
      <c r="D849" s="36" t="s">
        <v>1848</v>
      </c>
      <c r="E849" s="37">
        <v>1.149E-5</v>
      </c>
      <c r="F849" s="38">
        <v>4.5631600000000001E-2</v>
      </c>
      <c r="G849" s="39">
        <v>15.2318</v>
      </c>
      <c r="H849" s="39">
        <v>9666</v>
      </c>
      <c r="I849" s="40">
        <v>211827</v>
      </c>
      <c r="J849" s="40">
        <v>1000000</v>
      </c>
      <c r="K849" s="46">
        <v>0.02</v>
      </c>
      <c r="L849" s="46">
        <v>13.81</v>
      </c>
      <c r="M849" s="46">
        <v>-4.01</v>
      </c>
      <c r="N849" s="36">
        <v>845</v>
      </c>
      <c r="O849" s="41">
        <v>42998.867881944447</v>
      </c>
    </row>
    <row r="850" spans="2:15" x14ac:dyDescent="0.25">
      <c r="B850" s="36" t="s">
        <v>2902</v>
      </c>
      <c r="C850" s="35" t="s">
        <v>800</v>
      </c>
      <c r="D850" s="36" t="s">
        <v>1840</v>
      </c>
      <c r="E850" s="37">
        <v>1.95E-6</v>
      </c>
      <c r="F850" s="38">
        <v>7.7348800000000004E-3</v>
      </c>
      <c r="G850" s="39">
        <v>207.23699999999999</v>
      </c>
      <c r="H850" s="39">
        <v>8882</v>
      </c>
      <c r="I850" s="40">
        <v>1148324</v>
      </c>
      <c r="J850" s="40">
        <v>5194373</v>
      </c>
      <c r="K850" s="46">
        <v>-0.05</v>
      </c>
      <c r="L850" s="46">
        <v>9.1199999999999992</v>
      </c>
      <c r="M850" s="46">
        <v>9.6300000000000008</v>
      </c>
      <c r="N850" s="36">
        <v>846</v>
      </c>
      <c r="O850" s="41">
        <v>42998.867835648147</v>
      </c>
    </row>
    <row r="851" spans="2:15" x14ac:dyDescent="0.25">
      <c r="B851" s="36" t="s">
        <v>2906</v>
      </c>
      <c r="C851" s="35" t="s">
        <v>791</v>
      </c>
      <c r="D851" s="36" t="s">
        <v>1831</v>
      </c>
      <c r="E851" s="37">
        <v>5.9999999999999995E-8</v>
      </c>
      <c r="F851" s="38">
        <v>2.4348499999999999E-4</v>
      </c>
      <c r="G851" s="39">
        <v>18.2013</v>
      </c>
      <c r="H851" s="39">
        <v>7673</v>
      </c>
      <c r="I851" s="40">
        <v>31512613</v>
      </c>
      <c r="J851" s="40">
        <v>31512613</v>
      </c>
      <c r="K851" s="46">
        <v>-13.71</v>
      </c>
      <c r="L851" s="46">
        <v>-10.78</v>
      </c>
      <c r="M851" s="46">
        <v>-20.27</v>
      </c>
      <c r="N851" s="36">
        <v>847</v>
      </c>
      <c r="O851" s="41">
        <v>42998.867662037039</v>
      </c>
    </row>
    <row r="852" spans="2:15" x14ac:dyDescent="0.25">
      <c r="B852" s="36" t="s">
        <v>2919</v>
      </c>
      <c r="C852" s="35" t="s">
        <v>807</v>
      </c>
      <c r="D852" s="36" t="s">
        <v>1847</v>
      </c>
      <c r="E852" s="37">
        <v>2.3099999999999999E-5</v>
      </c>
      <c r="F852" s="38">
        <v>8.6762599999999995E-2</v>
      </c>
      <c r="G852" s="39"/>
      <c r="H852" s="39">
        <v>7654</v>
      </c>
      <c r="I852" s="40">
        <v>88213</v>
      </c>
      <c r="J852" s="40">
        <v>88213</v>
      </c>
      <c r="K852" s="46"/>
      <c r="L852" s="46"/>
      <c r="M852" s="46">
        <v>-3.47</v>
      </c>
      <c r="N852" s="36">
        <v>848</v>
      </c>
      <c r="O852" s="41">
        <v>42995.711400462962</v>
      </c>
    </row>
    <row r="853" spans="2:15" x14ac:dyDescent="0.25">
      <c r="B853" s="36" t="s">
        <v>2876</v>
      </c>
      <c r="C853" s="35" t="s">
        <v>772</v>
      </c>
      <c r="D853" s="36" t="s">
        <v>1814</v>
      </c>
      <c r="E853" s="37">
        <v>7.2699999999999999E-6</v>
      </c>
      <c r="F853" s="38">
        <v>2.88723E-2</v>
      </c>
      <c r="G853" s="39">
        <v>12.6747</v>
      </c>
      <c r="H853" s="39">
        <v>7560</v>
      </c>
      <c r="I853" s="40">
        <v>261831</v>
      </c>
      <c r="J853" s="40">
        <v>476918</v>
      </c>
      <c r="K853" s="46">
        <v>-0.05</v>
      </c>
      <c r="L853" s="46">
        <v>-0.5</v>
      </c>
      <c r="M853" s="46">
        <v>4.91</v>
      </c>
      <c r="N853" s="36">
        <v>849</v>
      </c>
      <c r="O853" s="41">
        <v>42998.867905092593</v>
      </c>
    </row>
    <row r="854" spans="2:15" x14ac:dyDescent="0.25">
      <c r="B854" s="36" t="s">
        <v>2905</v>
      </c>
      <c r="C854" s="35" t="s">
        <v>801</v>
      </c>
      <c r="D854" s="36" t="s">
        <v>1841</v>
      </c>
      <c r="E854" s="37">
        <v>1.181E-5</v>
      </c>
      <c r="F854" s="38">
        <v>4.6902600000000003E-2</v>
      </c>
      <c r="G854" s="39">
        <v>55.682499999999997</v>
      </c>
      <c r="H854" s="39">
        <v>7468</v>
      </c>
      <c r="I854" s="40">
        <v>159228</v>
      </c>
      <c r="J854" s="40">
        <v>159228</v>
      </c>
      <c r="K854" s="46">
        <v>-0.05</v>
      </c>
      <c r="L854" s="46">
        <v>-2.62</v>
      </c>
      <c r="M854" s="46">
        <v>-19.75</v>
      </c>
      <c r="N854" s="36">
        <v>850</v>
      </c>
      <c r="O854" s="41">
        <v>42998.867615740739</v>
      </c>
    </row>
    <row r="855" spans="2:15" x14ac:dyDescent="0.25">
      <c r="B855" s="36" t="s">
        <v>2912</v>
      </c>
      <c r="C855" s="35" t="s">
        <v>805</v>
      </c>
      <c r="D855" s="36" t="s">
        <v>1845</v>
      </c>
      <c r="E855" s="37">
        <v>1.1999999999999999E-7</v>
      </c>
      <c r="F855" s="38">
        <v>4.7657199999999998E-4</v>
      </c>
      <c r="G855" s="39">
        <v>152.928</v>
      </c>
      <c r="H855" s="39">
        <v>7202</v>
      </c>
      <c r="I855" s="40">
        <v>15112554</v>
      </c>
      <c r="J855" s="40">
        <v>60132654</v>
      </c>
      <c r="K855" s="46">
        <v>-0.05</v>
      </c>
      <c r="L855" s="46">
        <v>-12.67</v>
      </c>
      <c r="M855" s="46">
        <v>-12.64</v>
      </c>
      <c r="N855" s="36">
        <v>851</v>
      </c>
      <c r="O855" s="41">
        <v>42998.867905092593</v>
      </c>
    </row>
    <row r="856" spans="2:15" x14ac:dyDescent="0.25">
      <c r="B856" s="36" t="s">
        <v>2909</v>
      </c>
      <c r="C856" s="35" t="s">
        <v>802</v>
      </c>
      <c r="D856" s="36" t="s">
        <v>1842</v>
      </c>
      <c r="E856" s="37">
        <v>3.3999999999999997E-7</v>
      </c>
      <c r="F856" s="38">
        <v>1.3502900000000001E-3</v>
      </c>
      <c r="G856" s="39">
        <v>271.75299999999999</v>
      </c>
      <c r="H856" s="39">
        <v>6875</v>
      </c>
      <c r="I856" s="40">
        <v>5091200</v>
      </c>
      <c r="J856" s="40">
        <v>5091200</v>
      </c>
      <c r="K856" s="46">
        <v>-0.05</v>
      </c>
      <c r="L856" s="46">
        <v>-1.56</v>
      </c>
      <c r="M856" s="46">
        <v>-18.489999999999998</v>
      </c>
      <c r="N856" s="36">
        <v>852</v>
      </c>
      <c r="O856" s="41">
        <v>42998.867893518516</v>
      </c>
    </row>
    <row r="857" spans="2:15" x14ac:dyDescent="0.25">
      <c r="B857" s="36" t="s">
        <v>2888</v>
      </c>
      <c r="C857" s="35" t="s">
        <v>783</v>
      </c>
      <c r="D857" s="36" t="s">
        <v>1823</v>
      </c>
      <c r="E857" s="37">
        <v>1.3999999999999999E-6</v>
      </c>
      <c r="F857" s="38">
        <v>5.5599999999999998E-3</v>
      </c>
      <c r="G857" s="39">
        <v>16.7118</v>
      </c>
      <c r="H857" s="39">
        <v>6647</v>
      </c>
      <c r="I857" s="40">
        <v>1195525</v>
      </c>
      <c r="J857" s="40">
        <v>1195525</v>
      </c>
      <c r="K857" s="46">
        <v>-0.05</v>
      </c>
      <c r="L857" s="46"/>
      <c r="M857" s="46"/>
      <c r="N857" s="36">
        <v>853</v>
      </c>
      <c r="O857" s="41">
        <v>42998.867800925924</v>
      </c>
    </row>
    <row r="858" spans="2:15" x14ac:dyDescent="0.25">
      <c r="B858" s="36" t="s">
        <v>2921</v>
      </c>
      <c r="C858" s="35" t="s">
        <v>815</v>
      </c>
      <c r="D858" s="36" t="s">
        <v>1855</v>
      </c>
      <c r="E858" s="37">
        <v>9.4E-7</v>
      </c>
      <c r="F858" s="38">
        <v>3.7222800000000001E-3</v>
      </c>
      <c r="G858" s="39"/>
      <c r="H858" s="39">
        <v>6248</v>
      </c>
      <c r="I858" s="40">
        <v>1678439</v>
      </c>
      <c r="J858" s="40">
        <v>5878439</v>
      </c>
      <c r="K858" s="46"/>
      <c r="L858" s="46"/>
      <c r="M858" s="46">
        <v>9.06</v>
      </c>
      <c r="N858" s="36">
        <v>854</v>
      </c>
      <c r="O858" s="41">
        <v>42997.593449074076</v>
      </c>
    </row>
    <row r="859" spans="2:15" x14ac:dyDescent="0.25">
      <c r="B859" s="36" t="s">
        <v>2910</v>
      </c>
      <c r="C859" s="35" t="s">
        <v>522</v>
      </c>
      <c r="D859" s="36" t="s">
        <v>1577</v>
      </c>
      <c r="E859" s="37">
        <v>2.12E-6</v>
      </c>
      <c r="F859" s="38">
        <v>8.4111199999999994E-3</v>
      </c>
      <c r="G859" s="39">
        <v>25.831199999999999</v>
      </c>
      <c r="H859" s="39">
        <v>5929</v>
      </c>
      <c r="I859" s="40">
        <v>704882</v>
      </c>
      <c r="J859" s="40">
        <v>704882</v>
      </c>
      <c r="K859" s="46">
        <v>-9.2200000000000006</v>
      </c>
      <c r="L859" s="46">
        <v>-2.41</v>
      </c>
      <c r="M859" s="46">
        <v>-8.6300000000000008</v>
      </c>
      <c r="N859" s="36">
        <v>855</v>
      </c>
      <c r="O859" s="41">
        <v>42998.867800925924</v>
      </c>
    </row>
    <row r="860" spans="2:15" x14ac:dyDescent="0.25">
      <c r="B860" s="36" t="s">
        <v>2913</v>
      </c>
      <c r="C860" s="35" t="s">
        <v>811</v>
      </c>
      <c r="D860" s="36" t="s">
        <v>1851</v>
      </c>
      <c r="E860" s="37">
        <v>4.0000000000000001E-8</v>
      </c>
      <c r="F860" s="38">
        <v>1.5894999999999999E-4</v>
      </c>
      <c r="G860" s="39"/>
      <c r="H860" s="39">
        <v>5598</v>
      </c>
      <c r="I860" s="40">
        <v>35220238</v>
      </c>
      <c r="J860" s="40">
        <v>35220238</v>
      </c>
      <c r="K860" s="46"/>
      <c r="L860" s="46"/>
      <c r="M860" s="46"/>
      <c r="N860" s="36">
        <v>856</v>
      </c>
      <c r="O860" s="41">
        <v>42997.089756944442</v>
      </c>
    </row>
    <row r="861" spans="2:15" x14ac:dyDescent="0.25">
      <c r="B861" s="36" t="s">
        <v>2917</v>
      </c>
      <c r="C861" s="35" t="s">
        <v>804</v>
      </c>
      <c r="D861" s="36" t="s">
        <v>1844</v>
      </c>
      <c r="E861" s="37">
        <v>1.37E-6</v>
      </c>
      <c r="F861" s="38">
        <v>5.4312500000000003E-3</v>
      </c>
      <c r="G861" s="39">
        <v>13.578099999999999</v>
      </c>
      <c r="H861" s="39">
        <v>5431</v>
      </c>
      <c r="I861" s="40">
        <v>1000000</v>
      </c>
      <c r="J861" s="40">
        <v>5000000</v>
      </c>
      <c r="K861" s="46">
        <v>0.02</v>
      </c>
      <c r="L861" s="46">
        <v>-45.05</v>
      </c>
      <c r="M861" s="46">
        <v>-53.06</v>
      </c>
      <c r="N861" s="36">
        <v>857</v>
      </c>
      <c r="O861" s="41">
        <v>42998.867847222224</v>
      </c>
    </row>
    <row r="862" spans="2:15" x14ac:dyDescent="0.25">
      <c r="B862" s="36" t="s">
        <v>2639</v>
      </c>
      <c r="C862" s="35" t="s">
        <v>527</v>
      </c>
      <c r="D862" s="36" t="s">
        <v>1582</v>
      </c>
      <c r="E862" s="37">
        <v>9.9999999999999995E-7</v>
      </c>
      <c r="F862" s="38">
        <v>3.9714299999999998E-3</v>
      </c>
      <c r="G862" s="39">
        <v>9.4952100000000002</v>
      </c>
      <c r="H862" s="39">
        <v>4607</v>
      </c>
      <c r="I862" s="40">
        <v>1160001</v>
      </c>
      <c r="J862" s="40">
        <v>811160001</v>
      </c>
      <c r="K862" s="46">
        <v>-0.05</v>
      </c>
      <c r="L862" s="46">
        <v>-38.479999999999997</v>
      </c>
      <c r="M862" s="46">
        <v>-46.45</v>
      </c>
      <c r="N862" s="36">
        <v>858</v>
      </c>
      <c r="O862" s="41">
        <v>42998.867881944447</v>
      </c>
    </row>
    <row r="863" spans="2:15" x14ac:dyDescent="0.25">
      <c r="B863" s="36" t="s">
        <v>2900</v>
      </c>
      <c r="C863" s="35" t="s">
        <v>795</v>
      </c>
      <c r="D863" s="36" t="s">
        <v>1835</v>
      </c>
      <c r="E863" s="37">
        <v>2.4999999999999999E-7</v>
      </c>
      <c r="F863" s="38">
        <v>9.4587499999999999E-4</v>
      </c>
      <c r="G863" s="39"/>
      <c r="H863" s="39">
        <v>4399</v>
      </c>
      <c r="I863" s="40">
        <v>4650380</v>
      </c>
      <c r="J863" s="40">
        <v>2000000000</v>
      </c>
      <c r="K863" s="46"/>
      <c r="L863" s="46"/>
      <c r="M863" s="46"/>
      <c r="N863" s="36">
        <v>859</v>
      </c>
      <c r="O863" s="41">
        <v>42996.211747685185</v>
      </c>
    </row>
    <row r="864" spans="2:15" x14ac:dyDescent="0.25">
      <c r="B864" s="36" t="s">
        <v>2918</v>
      </c>
      <c r="C864" s="35" t="s">
        <v>814</v>
      </c>
      <c r="D864" s="36" t="s">
        <v>1854</v>
      </c>
      <c r="E864" s="37">
        <v>1E-8</v>
      </c>
      <c r="F864" s="42">
        <v>3.97143E-5</v>
      </c>
      <c r="G864" s="39">
        <v>11.1204</v>
      </c>
      <c r="H864" s="39">
        <v>4282</v>
      </c>
      <c r="I864" s="40">
        <v>107829281</v>
      </c>
      <c r="J864" s="40">
        <v>107829281</v>
      </c>
      <c r="K864" s="46">
        <v>-0.05</v>
      </c>
      <c r="L864" s="46">
        <v>1.49</v>
      </c>
      <c r="M864" s="46">
        <v>1.9</v>
      </c>
      <c r="N864" s="36">
        <v>860</v>
      </c>
      <c r="O864" s="41">
        <v>42998.867847222224</v>
      </c>
    </row>
    <row r="865" spans="2:15" x14ac:dyDescent="0.25">
      <c r="B865" s="36" t="s">
        <v>2915</v>
      </c>
      <c r="C865" s="35" t="s">
        <v>810</v>
      </c>
      <c r="D865" s="36" t="s">
        <v>1850</v>
      </c>
      <c r="E865" s="37">
        <v>5.6000000000000004E-7</v>
      </c>
      <c r="F865" s="38">
        <v>2.2239999999999998E-3</v>
      </c>
      <c r="G865" s="39">
        <v>19.304600000000001</v>
      </c>
      <c r="H865" s="39">
        <v>4244</v>
      </c>
      <c r="I865" s="40">
        <v>1908128</v>
      </c>
      <c r="J865" s="40">
        <v>8888888</v>
      </c>
      <c r="K865" s="46"/>
      <c r="L865" s="46"/>
      <c r="M865" s="46"/>
      <c r="N865" s="36">
        <v>861</v>
      </c>
      <c r="O865" s="41">
        <v>42998.867824074077</v>
      </c>
    </row>
    <row r="866" spans="2:15" x14ac:dyDescent="0.25">
      <c r="B866" s="36" t="s">
        <v>2643</v>
      </c>
      <c r="C866" s="35" t="s">
        <v>530</v>
      </c>
      <c r="D866" s="36" t="s">
        <v>1585</v>
      </c>
      <c r="E866" s="37">
        <v>1.101E-5</v>
      </c>
      <c r="F866" s="38">
        <v>4.3693599999999999E-2</v>
      </c>
      <c r="G866" s="39">
        <v>256.40899999999999</v>
      </c>
      <c r="H866" s="39">
        <v>4062</v>
      </c>
      <c r="I866" s="40">
        <v>92976</v>
      </c>
      <c r="J866" s="40">
        <v>54092976</v>
      </c>
      <c r="K866" s="46">
        <v>-0.25</v>
      </c>
      <c r="L866" s="46">
        <v>45.52</v>
      </c>
      <c r="M866" s="46">
        <v>25.6</v>
      </c>
      <c r="N866" s="36">
        <v>862</v>
      </c>
      <c r="O866" s="41">
        <v>42998.864525462966</v>
      </c>
    </row>
    <row r="867" spans="2:15" x14ac:dyDescent="0.25">
      <c r="B867" s="36" t="s">
        <v>2922</v>
      </c>
      <c r="C867" s="35" t="s">
        <v>818</v>
      </c>
      <c r="D867" s="36" t="s">
        <v>1858</v>
      </c>
      <c r="E867" s="37">
        <v>2.39E-6</v>
      </c>
      <c r="F867" s="38">
        <v>9.4852500000000006E-3</v>
      </c>
      <c r="G867" s="39">
        <v>1.8970499999999999</v>
      </c>
      <c r="H867" s="39">
        <v>3824</v>
      </c>
      <c r="I867" s="40">
        <v>403189</v>
      </c>
      <c r="J867" s="40">
        <v>1000000</v>
      </c>
      <c r="K867" s="46">
        <v>0.02</v>
      </c>
      <c r="L867" s="46">
        <v>1.65</v>
      </c>
      <c r="M867" s="46">
        <v>-46.46</v>
      </c>
      <c r="N867" s="36">
        <v>863</v>
      </c>
      <c r="O867" s="41">
        <v>42998.867824074077</v>
      </c>
    </row>
    <row r="868" spans="2:15" x14ac:dyDescent="0.25">
      <c r="B868" s="36" t="s">
        <v>2923</v>
      </c>
      <c r="C868" s="35" t="s">
        <v>816</v>
      </c>
      <c r="D868" s="36" t="s">
        <v>1856</v>
      </c>
      <c r="E868" s="37">
        <v>5.2040000000000003E-5</v>
      </c>
      <c r="F868" s="38">
        <v>0.206673</v>
      </c>
      <c r="G868" s="39">
        <v>211.886</v>
      </c>
      <c r="H868" s="39">
        <v>3436</v>
      </c>
      <c r="I868" s="40">
        <v>16627</v>
      </c>
      <c r="J868" s="40">
        <v>66627</v>
      </c>
      <c r="K868" s="46">
        <v>-0.05</v>
      </c>
      <c r="L868" s="46">
        <v>2.93</v>
      </c>
      <c r="M868" s="46">
        <v>-3.63</v>
      </c>
      <c r="N868" s="36">
        <v>864</v>
      </c>
      <c r="O868" s="41">
        <v>42998.867708333331</v>
      </c>
    </row>
    <row r="869" spans="2:15" x14ac:dyDescent="0.25">
      <c r="B869" s="36" t="s">
        <v>2928</v>
      </c>
      <c r="C869" s="35" t="s">
        <v>824</v>
      </c>
      <c r="D869" s="36" t="s">
        <v>1863</v>
      </c>
      <c r="E869" s="37">
        <v>7.3E-7</v>
      </c>
      <c r="F869" s="38">
        <v>3.0062399999999999E-3</v>
      </c>
      <c r="G869" s="39"/>
      <c r="H869" s="39">
        <v>3004</v>
      </c>
      <c r="I869" s="40">
        <v>999279</v>
      </c>
      <c r="J869" s="40">
        <v>1000000</v>
      </c>
      <c r="K869" s="46"/>
      <c r="L869" s="46"/>
      <c r="M869" s="46"/>
      <c r="N869" s="36">
        <v>865</v>
      </c>
      <c r="O869" s="41">
        <v>42988.482557870368</v>
      </c>
    </row>
    <row r="870" spans="2:15" x14ac:dyDescent="0.25">
      <c r="B870" s="36" t="s">
        <v>2920</v>
      </c>
      <c r="C870" s="35" t="s">
        <v>812</v>
      </c>
      <c r="D870" s="36" t="s">
        <v>1852</v>
      </c>
      <c r="E870" s="37">
        <v>5.0000000000000001E-9</v>
      </c>
      <c r="F870" s="38">
        <v>2.0024999999999999E-5</v>
      </c>
      <c r="G870" s="39"/>
      <c r="H870" s="39">
        <v>2656</v>
      </c>
      <c r="I870" s="40">
        <v>132656584</v>
      </c>
      <c r="J870" s="40">
        <v>932656584</v>
      </c>
      <c r="K870" s="46"/>
      <c r="L870" s="46">
        <v>1.86</v>
      </c>
      <c r="M870" s="46">
        <v>-11.12</v>
      </c>
      <c r="N870" s="36">
        <v>866</v>
      </c>
      <c r="O870" s="41">
        <v>42998.593587962961</v>
      </c>
    </row>
    <row r="871" spans="2:15" x14ac:dyDescent="0.25">
      <c r="B871" s="36" t="s">
        <v>2925</v>
      </c>
      <c r="C871" s="35" t="s">
        <v>819</v>
      </c>
      <c r="D871" s="36" t="s">
        <v>1859</v>
      </c>
      <c r="E871" s="37">
        <v>3.9000000000000002E-7</v>
      </c>
      <c r="F871" s="38">
        <v>1.54886E-3</v>
      </c>
      <c r="G871" s="39">
        <v>82.216099999999997</v>
      </c>
      <c r="H871" s="39">
        <v>2134</v>
      </c>
      <c r="I871" s="40">
        <v>1377917</v>
      </c>
      <c r="J871" s="40">
        <v>10127917</v>
      </c>
      <c r="K871" s="46">
        <v>-0.12</v>
      </c>
      <c r="L871" s="46">
        <v>-1.65</v>
      </c>
      <c r="M871" s="46">
        <v>16.48</v>
      </c>
      <c r="N871" s="36">
        <v>867</v>
      </c>
      <c r="O871" s="41">
        <v>42998.867743055554</v>
      </c>
    </row>
    <row r="872" spans="2:15" x14ac:dyDescent="0.25">
      <c r="B872" s="36" t="s">
        <v>2644</v>
      </c>
      <c r="C872" s="35" t="s">
        <v>823</v>
      </c>
      <c r="D872" s="36" t="s">
        <v>1862</v>
      </c>
      <c r="E872" s="37">
        <v>1E-8</v>
      </c>
      <c r="F872" s="38">
        <v>3.97143E-5</v>
      </c>
      <c r="G872" s="39">
        <v>2.9836999999999998</v>
      </c>
      <c r="H872" s="39">
        <v>1985</v>
      </c>
      <c r="I872" s="40">
        <v>49983870</v>
      </c>
      <c r="J872" s="40">
        <v>49983870</v>
      </c>
      <c r="K872" s="46">
        <v>-0.05</v>
      </c>
      <c r="L872" s="46">
        <v>1.51</v>
      </c>
      <c r="M872" s="46">
        <v>1.92</v>
      </c>
      <c r="N872" s="36">
        <v>868</v>
      </c>
      <c r="O872" s="41">
        <v>42998.867719907408</v>
      </c>
    </row>
    <row r="873" spans="2:15" x14ac:dyDescent="0.25">
      <c r="B873" s="36" t="s">
        <v>2638</v>
      </c>
      <c r="C873" s="35" t="s">
        <v>526</v>
      </c>
      <c r="D873" s="36" t="s">
        <v>1581</v>
      </c>
      <c r="E873" s="37">
        <v>4.1500000000000001E-6</v>
      </c>
      <c r="F873" s="38">
        <v>1.64814E-2</v>
      </c>
      <c r="G873" s="39">
        <v>143.83500000000001</v>
      </c>
      <c r="H873" s="39">
        <v>1831</v>
      </c>
      <c r="I873" s="40">
        <v>111110</v>
      </c>
      <c r="J873" s="40">
        <v>111110</v>
      </c>
      <c r="K873" s="46">
        <v>-0.12</v>
      </c>
      <c r="L873" s="46">
        <v>-8.23</v>
      </c>
      <c r="M873" s="46">
        <v>-49.92</v>
      </c>
      <c r="N873" s="36">
        <v>869</v>
      </c>
      <c r="O873" s="41">
        <v>42998.867569444446</v>
      </c>
    </row>
    <row r="874" spans="2:15" x14ac:dyDescent="0.25">
      <c r="B874" s="36" t="s">
        <v>2927</v>
      </c>
      <c r="C874" s="35" t="s">
        <v>821</v>
      </c>
      <c r="D874" s="36" t="s">
        <v>1860</v>
      </c>
      <c r="E874" s="37">
        <v>1.3E-7</v>
      </c>
      <c r="F874" s="38">
        <v>5.2307500000000002E-4</v>
      </c>
      <c r="G874" s="39"/>
      <c r="H874" s="39">
        <v>1440</v>
      </c>
      <c r="I874" s="40">
        <v>2753201</v>
      </c>
      <c r="J874" s="40">
        <v>1002753201</v>
      </c>
      <c r="K874" s="46"/>
      <c r="L874" s="46">
        <v>2.38</v>
      </c>
      <c r="M874" s="46">
        <v>-45.97</v>
      </c>
      <c r="N874" s="36">
        <v>870</v>
      </c>
      <c r="O874" s="41">
        <v>42998.593472222223</v>
      </c>
    </row>
    <row r="875" spans="2:15" x14ac:dyDescent="0.25">
      <c r="B875" s="36" t="s">
        <v>2924</v>
      </c>
      <c r="C875" s="35" t="s">
        <v>817</v>
      </c>
      <c r="D875" s="36" t="s">
        <v>1857</v>
      </c>
      <c r="E875" s="37">
        <v>8.0000000000000002E-8</v>
      </c>
      <c r="F875" s="38">
        <v>3.1771399999999997E-4</v>
      </c>
      <c r="G875" s="39">
        <v>23.152999999999999</v>
      </c>
      <c r="H875" s="39">
        <v>1272</v>
      </c>
      <c r="I875" s="40">
        <v>4005012</v>
      </c>
      <c r="J875" s="40">
        <v>4005012</v>
      </c>
      <c r="K875" s="46">
        <v>-0.05</v>
      </c>
      <c r="L875" s="46">
        <v>-59.4</v>
      </c>
      <c r="M875" s="46">
        <v>-56.84</v>
      </c>
      <c r="N875" s="36">
        <v>871</v>
      </c>
      <c r="O875" s="41">
        <v>42998.867835648147</v>
      </c>
    </row>
    <row r="876" spans="2:15" x14ac:dyDescent="0.25">
      <c r="B876" s="36" t="s">
        <v>2929</v>
      </c>
      <c r="C876" s="35" t="s">
        <v>825</v>
      </c>
      <c r="D876" s="36" t="s">
        <v>1864</v>
      </c>
      <c r="E876" s="37">
        <v>2.9999999999999997E-8</v>
      </c>
      <c r="F876" s="38">
        <v>1.1914299999999999E-4</v>
      </c>
      <c r="G876" s="39">
        <v>8.2077899999999993</v>
      </c>
      <c r="H876" s="39">
        <v>694</v>
      </c>
      <c r="I876" s="40">
        <v>5826388</v>
      </c>
      <c r="J876" s="40">
        <v>201284316</v>
      </c>
      <c r="K876" s="46">
        <v>-0.05</v>
      </c>
      <c r="L876" s="46">
        <v>52.26</v>
      </c>
      <c r="M876" s="46">
        <v>-6.75</v>
      </c>
      <c r="N876" s="36">
        <v>872</v>
      </c>
      <c r="O876" s="41">
        <v>42998.867638888885</v>
      </c>
    </row>
    <row r="877" spans="2:15" x14ac:dyDescent="0.25">
      <c r="B877" s="36" t="s">
        <v>2930</v>
      </c>
      <c r="C877" s="35" t="s">
        <v>826</v>
      </c>
      <c r="D877" s="36" t="s">
        <v>1865</v>
      </c>
      <c r="E877" s="37">
        <v>2.6E-7</v>
      </c>
      <c r="F877" s="38">
        <v>1.03257E-3</v>
      </c>
      <c r="G877" s="39">
        <v>25.814299999999999</v>
      </c>
      <c r="H877" s="39">
        <v>435</v>
      </c>
      <c r="I877" s="40">
        <v>421300</v>
      </c>
      <c r="J877" s="40">
        <v>10421300</v>
      </c>
      <c r="K877" s="46">
        <v>-0.05</v>
      </c>
      <c r="L877" s="46">
        <v>31.96</v>
      </c>
      <c r="M877" s="46">
        <v>2.5099999999999998</v>
      </c>
      <c r="N877" s="36">
        <v>873</v>
      </c>
      <c r="O877" s="41">
        <v>42998.86791666667</v>
      </c>
    </row>
    <row r="878" spans="2:15" x14ac:dyDescent="0.25">
      <c r="B878" s="36" t="s">
        <v>2931</v>
      </c>
      <c r="C878" s="35" t="s">
        <v>827</v>
      </c>
      <c r="D878" s="36" t="s">
        <v>1866</v>
      </c>
      <c r="E878" s="37">
        <v>1.9999999999999999E-7</v>
      </c>
      <c r="F878" s="38">
        <v>7.9428599999999995E-4</v>
      </c>
      <c r="G878" s="39">
        <v>9.1326999999999998</v>
      </c>
      <c r="H878" s="39">
        <v>69</v>
      </c>
      <c r="I878" s="40">
        <v>87140</v>
      </c>
      <c r="J878" s="40">
        <v>148587140</v>
      </c>
      <c r="K878" s="46">
        <v>-0.05</v>
      </c>
      <c r="L878" s="46">
        <v>-25.73</v>
      </c>
      <c r="M878" s="46">
        <v>-40.72</v>
      </c>
      <c r="N878" s="36">
        <v>874</v>
      </c>
      <c r="O878" s="41">
        <v>42998.867766203701</v>
      </c>
    </row>
    <row r="879" spans="2:15" x14ac:dyDescent="0.25">
      <c r="B879" s="36" t="s">
        <v>2932</v>
      </c>
      <c r="C879" s="35" t="s">
        <v>828</v>
      </c>
      <c r="D879" s="36" t="s">
        <v>1867</v>
      </c>
      <c r="E879" s="37">
        <v>1.04E-6</v>
      </c>
      <c r="F879" s="38">
        <v>4.1701000000000004E-3</v>
      </c>
      <c r="G879" s="39"/>
      <c r="H879" s="39">
        <v>42</v>
      </c>
      <c r="I879" s="40">
        <v>10100</v>
      </c>
      <c r="J879" s="40">
        <v>10010100</v>
      </c>
      <c r="K879" s="46"/>
      <c r="L879" s="46">
        <v>2.48</v>
      </c>
      <c r="M879" s="46">
        <v>-69.89</v>
      </c>
      <c r="N879" s="36">
        <v>875</v>
      </c>
      <c r="O879" s="41">
        <v>42998.593460648146</v>
      </c>
    </row>
    <row r="880" spans="2:15" x14ac:dyDescent="0.25">
      <c r="B880" s="36" t="s">
        <v>2958</v>
      </c>
      <c r="C880" s="35" t="s">
        <v>845</v>
      </c>
      <c r="D880" s="36" t="s">
        <v>1884</v>
      </c>
      <c r="E880" s="37">
        <v>7.8169999999999997E-4</v>
      </c>
      <c r="F880" s="38">
        <v>3.1044700000000001</v>
      </c>
      <c r="G880" s="39">
        <v>23010300</v>
      </c>
      <c r="H880" s="39"/>
      <c r="I880" s="40"/>
      <c r="J880" s="40">
        <v>1732305</v>
      </c>
      <c r="K880" s="46">
        <v>-5.96</v>
      </c>
      <c r="L880" s="46">
        <v>-20.21</v>
      </c>
      <c r="M880" s="46">
        <v>440.72</v>
      </c>
      <c r="N880" s="36">
        <v>876</v>
      </c>
      <c r="O880" s="41">
        <v>42998.867789351854</v>
      </c>
    </row>
    <row r="881" spans="2:15" x14ac:dyDescent="0.25">
      <c r="B881" s="36" t="s">
        <v>2938</v>
      </c>
      <c r="C881" s="35" t="s">
        <v>838</v>
      </c>
      <c r="D881" s="36" t="s">
        <v>1877</v>
      </c>
      <c r="E881" s="37">
        <v>1.4899999999999999E-6</v>
      </c>
      <c r="F881" s="38">
        <v>5.9368399999999997E-3</v>
      </c>
      <c r="G881" s="39">
        <v>4583950</v>
      </c>
      <c r="H881" s="39"/>
      <c r="I881" s="40"/>
      <c r="J881" s="40"/>
      <c r="K881" s="46">
        <v>2.17</v>
      </c>
      <c r="L881" s="46">
        <v>-20.059999999999999</v>
      </c>
      <c r="M881" s="46">
        <v>-60.47</v>
      </c>
      <c r="N881" s="36">
        <v>877</v>
      </c>
      <c r="O881" s="41">
        <v>42998.868009259262</v>
      </c>
    </row>
    <row r="882" spans="2:15" x14ac:dyDescent="0.25">
      <c r="B882" s="36" t="s">
        <v>2947</v>
      </c>
      <c r="C882" s="35" t="s">
        <v>841</v>
      </c>
      <c r="D882" s="36" t="s">
        <v>1880</v>
      </c>
      <c r="E882" s="37">
        <v>1.5002E-4</v>
      </c>
      <c r="F882" s="38">
        <v>0.59579199999999999</v>
      </c>
      <c r="G882" s="39">
        <v>1211780</v>
      </c>
      <c r="H882" s="39"/>
      <c r="I882" s="40"/>
      <c r="J882" s="40">
        <v>167704353</v>
      </c>
      <c r="K882" s="46">
        <v>0.85</v>
      </c>
      <c r="L882" s="46">
        <v>-11.5</v>
      </c>
      <c r="M882" s="46">
        <v>28.86</v>
      </c>
      <c r="N882" s="36">
        <v>878</v>
      </c>
      <c r="O882" s="41">
        <v>42998.867569444446</v>
      </c>
    </row>
    <row r="883" spans="2:15" x14ac:dyDescent="0.25">
      <c r="B883" s="36" t="s">
        <v>2944</v>
      </c>
      <c r="C883" s="35" t="s">
        <v>837</v>
      </c>
      <c r="D883" s="36" t="s">
        <v>1876</v>
      </c>
      <c r="E883" s="37">
        <v>2.5169999999999999E-4</v>
      </c>
      <c r="F883" s="38">
        <v>0.99961599999999995</v>
      </c>
      <c r="G883" s="39">
        <v>801433</v>
      </c>
      <c r="H883" s="39"/>
      <c r="I883" s="40"/>
      <c r="J883" s="40">
        <v>10541442931</v>
      </c>
      <c r="K883" s="46">
        <v>0.05</v>
      </c>
      <c r="L883" s="46">
        <v>0.09</v>
      </c>
      <c r="M883" s="46">
        <v>0.03</v>
      </c>
      <c r="N883" s="36">
        <v>879</v>
      </c>
      <c r="O883" s="41">
        <v>42998.867777777778</v>
      </c>
    </row>
    <row r="884" spans="2:15" x14ac:dyDescent="0.25">
      <c r="B884" s="36" t="s">
        <v>2950</v>
      </c>
      <c r="C884" s="35" t="s">
        <v>835</v>
      </c>
      <c r="D884" s="36" t="s">
        <v>1874</v>
      </c>
      <c r="E884" s="37">
        <v>1.91811E-3</v>
      </c>
      <c r="F884" s="38">
        <v>7.6176500000000003</v>
      </c>
      <c r="G884" s="39">
        <v>573674</v>
      </c>
      <c r="H884" s="39"/>
      <c r="I884" s="40"/>
      <c r="J884" s="40">
        <v>462224402</v>
      </c>
      <c r="K884" s="46">
        <v>-0.26</v>
      </c>
      <c r="L884" s="46">
        <v>-0.28999999999999998</v>
      </c>
      <c r="M884" s="46">
        <v>7.11</v>
      </c>
      <c r="N884" s="36">
        <v>880</v>
      </c>
      <c r="O884" s="41">
        <v>42998.867800925924</v>
      </c>
    </row>
    <row r="885" spans="2:15" x14ac:dyDescent="0.25">
      <c r="B885" s="36" t="s">
        <v>3304</v>
      </c>
      <c r="C885" s="35" t="s">
        <v>3305</v>
      </c>
      <c r="D885" s="36" t="s">
        <v>3306</v>
      </c>
      <c r="E885" s="37">
        <v>3.4297E-4</v>
      </c>
      <c r="F885" s="38">
        <v>1.3611</v>
      </c>
      <c r="G885" s="39">
        <v>522589</v>
      </c>
      <c r="H885" s="39"/>
      <c r="I885" s="40"/>
      <c r="J885" s="40"/>
      <c r="K885" s="46">
        <v>3.77</v>
      </c>
      <c r="L885" s="46">
        <v>24.92</v>
      </c>
      <c r="M885" s="46"/>
      <c r="N885" s="36">
        <v>881</v>
      </c>
      <c r="O885" s="41">
        <v>42998.864548611113</v>
      </c>
    </row>
    <row r="886" spans="2:15" x14ac:dyDescent="0.25">
      <c r="B886" s="36" t="s">
        <v>2150</v>
      </c>
      <c r="C886" s="35" t="s">
        <v>56</v>
      </c>
      <c r="D886" s="36" t="s">
        <v>56</v>
      </c>
      <c r="E886" s="37">
        <v>3.9921999999999999E-4</v>
      </c>
      <c r="F886" s="38">
        <v>1.5854600000000001</v>
      </c>
      <c r="G886" s="39">
        <v>516886</v>
      </c>
      <c r="H886" s="39"/>
      <c r="I886" s="40"/>
      <c r="J886" s="40">
        <v>100000000</v>
      </c>
      <c r="K886" s="46">
        <v>-0.71</v>
      </c>
      <c r="L886" s="46">
        <v>5.58</v>
      </c>
      <c r="M886" s="46">
        <v>2.75</v>
      </c>
      <c r="N886" s="36">
        <v>882</v>
      </c>
      <c r="O886" s="41">
        <v>42998.867928240739</v>
      </c>
    </row>
    <row r="887" spans="2:15" x14ac:dyDescent="0.25">
      <c r="B887" s="36" t="s">
        <v>3301</v>
      </c>
      <c r="C887" s="35" t="s">
        <v>3302</v>
      </c>
      <c r="D887" s="36" t="s">
        <v>3303</v>
      </c>
      <c r="E887" s="37">
        <v>1.5275999999999999E-4</v>
      </c>
      <c r="F887" s="38">
        <v>0.60623000000000005</v>
      </c>
      <c r="G887" s="39">
        <v>422909</v>
      </c>
      <c r="H887" s="39"/>
      <c r="I887" s="40"/>
      <c r="J887" s="40">
        <v>3000738</v>
      </c>
      <c r="K887" s="46">
        <v>-6.49</v>
      </c>
      <c r="L887" s="46">
        <v>-4.6900000000000004</v>
      </c>
      <c r="M887" s="46"/>
      <c r="N887" s="36">
        <v>883</v>
      </c>
      <c r="O887" s="41">
        <v>42998.864548611113</v>
      </c>
    </row>
    <row r="888" spans="2:15" x14ac:dyDescent="0.25">
      <c r="B888" s="36" t="s">
        <v>2942</v>
      </c>
      <c r="C888" s="35" t="s">
        <v>861</v>
      </c>
      <c r="D888" s="36" t="s">
        <v>1900</v>
      </c>
      <c r="E888" s="37">
        <v>1.3165E-4</v>
      </c>
      <c r="F888" s="38">
        <v>0.522837</v>
      </c>
      <c r="G888" s="39">
        <v>401378</v>
      </c>
      <c r="H888" s="39"/>
      <c r="I888" s="40"/>
      <c r="J888" s="40">
        <v>646359158</v>
      </c>
      <c r="K888" s="46">
        <v>-7.0000000000000007E-2</v>
      </c>
      <c r="L888" s="46">
        <v>-0.34</v>
      </c>
      <c r="M888" s="46">
        <v>-18.11</v>
      </c>
      <c r="N888" s="36">
        <v>884</v>
      </c>
      <c r="O888" s="41">
        <v>42998.867743055554</v>
      </c>
    </row>
    <row r="889" spans="2:15" x14ac:dyDescent="0.25">
      <c r="B889" s="36" t="s">
        <v>2957</v>
      </c>
      <c r="C889" s="35" t="s">
        <v>857</v>
      </c>
      <c r="D889" s="36" t="s">
        <v>1895</v>
      </c>
      <c r="E889" s="37">
        <v>3.2444E-4</v>
      </c>
      <c r="F889" s="38">
        <v>1.2884800000000001</v>
      </c>
      <c r="G889" s="39">
        <v>397670</v>
      </c>
      <c r="H889" s="39"/>
      <c r="I889" s="40"/>
      <c r="J889" s="40">
        <v>98272765</v>
      </c>
      <c r="K889" s="46">
        <v>0.7</v>
      </c>
      <c r="L889" s="46">
        <v>4.93</v>
      </c>
      <c r="M889" s="46">
        <v>20.93</v>
      </c>
      <c r="N889" s="36">
        <v>885</v>
      </c>
      <c r="O889" s="41">
        <v>42998.867997685185</v>
      </c>
    </row>
    <row r="890" spans="2:15" x14ac:dyDescent="0.25">
      <c r="B890" s="36" t="s">
        <v>3261</v>
      </c>
      <c r="C890" s="35" t="s">
        <v>3262</v>
      </c>
      <c r="D890" s="36" t="s">
        <v>3263</v>
      </c>
      <c r="E890" s="37">
        <v>5.5000000000000003E-7</v>
      </c>
      <c r="F890" s="38">
        <v>2.2004199999999998E-3</v>
      </c>
      <c r="G890" s="39">
        <v>339236</v>
      </c>
      <c r="H890" s="39"/>
      <c r="I890" s="40"/>
      <c r="J890" s="40">
        <v>1775564802</v>
      </c>
      <c r="K890" s="46">
        <v>0.87</v>
      </c>
      <c r="L890" s="46">
        <v>-13.13</v>
      </c>
      <c r="M890" s="46">
        <v>514.87</v>
      </c>
      <c r="N890" s="36">
        <v>886</v>
      </c>
      <c r="O890" s="41">
        <v>42998.864548611113</v>
      </c>
    </row>
    <row r="891" spans="2:15" x14ac:dyDescent="0.25">
      <c r="B891" s="36" t="s">
        <v>2974</v>
      </c>
      <c r="C891" s="35" t="s">
        <v>876</v>
      </c>
      <c r="D891" s="36" t="s">
        <v>1914</v>
      </c>
      <c r="E891" s="37">
        <v>2.603E-5</v>
      </c>
      <c r="F891" s="38">
        <v>0.103378</v>
      </c>
      <c r="G891" s="39">
        <v>325995</v>
      </c>
      <c r="H891" s="39"/>
      <c r="I891" s="40"/>
      <c r="J891" s="40"/>
      <c r="K891" s="46">
        <v>0.68</v>
      </c>
      <c r="L891" s="46">
        <v>-17.579999999999998</v>
      </c>
      <c r="M891" s="46">
        <v>38</v>
      </c>
      <c r="N891" s="36">
        <v>887</v>
      </c>
      <c r="O891" s="41">
        <v>42998.86787037037</v>
      </c>
    </row>
    <row r="892" spans="2:15" x14ac:dyDescent="0.25">
      <c r="B892" s="36" t="s">
        <v>3282</v>
      </c>
      <c r="C892" s="35" t="s">
        <v>3283</v>
      </c>
      <c r="D892" s="36" t="s">
        <v>3284</v>
      </c>
      <c r="E892" s="37">
        <v>5.8000000000000004E-6</v>
      </c>
      <c r="F892" s="38">
        <v>2.3021199999999999E-2</v>
      </c>
      <c r="G892" s="39">
        <v>226841</v>
      </c>
      <c r="H892" s="39"/>
      <c r="I892" s="40"/>
      <c r="J892" s="40">
        <v>2805886393</v>
      </c>
      <c r="K892" s="46">
        <v>2.1</v>
      </c>
      <c r="L892" s="46">
        <v>35.340000000000003</v>
      </c>
      <c r="M892" s="46"/>
      <c r="N892" s="36">
        <v>888</v>
      </c>
      <c r="O892" s="41">
        <v>42998.864560185182</v>
      </c>
    </row>
    <row r="893" spans="2:15" x14ac:dyDescent="0.25">
      <c r="B893" s="36" t="s">
        <v>2976</v>
      </c>
      <c r="C893" s="35" t="s">
        <v>863</v>
      </c>
      <c r="D893" s="36" t="s">
        <v>1902</v>
      </c>
      <c r="E893" s="37">
        <v>1.1081E-4</v>
      </c>
      <c r="F893" s="38">
        <v>0.44009199999999998</v>
      </c>
      <c r="G893" s="39">
        <v>153348</v>
      </c>
      <c r="H893" s="39"/>
      <c r="I893" s="40"/>
      <c r="J893" s="40">
        <v>90899180</v>
      </c>
      <c r="K893" s="46">
        <v>-0.01</v>
      </c>
      <c r="L893" s="46">
        <v>6.27</v>
      </c>
      <c r="M893" s="46">
        <v>16.25</v>
      </c>
      <c r="N893" s="36">
        <v>889</v>
      </c>
      <c r="O893" s="41">
        <v>42998.867650462962</v>
      </c>
    </row>
    <row r="894" spans="2:15" x14ac:dyDescent="0.25">
      <c r="B894" s="36" t="s">
        <v>2946</v>
      </c>
      <c r="C894" s="35" t="s">
        <v>848</v>
      </c>
      <c r="D894" s="36" t="s">
        <v>1887</v>
      </c>
      <c r="E894" s="37">
        <v>1.7309999999999999E-5</v>
      </c>
      <c r="F894" s="38">
        <v>6.8751000000000007E-2</v>
      </c>
      <c r="G894" s="39">
        <v>118309</v>
      </c>
      <c r="H894" s="39"/>
      <c r="I894" s="40"/>
      <c r="J894" s="40"/>
      <c r="K894" s="46">
        <v>0.59</v>
      </c>
      <c r="L894" s="46">
        <v>0.3</v>
      </c>
      <c r="M894" s="46">
        <v>-57.62</v>
      </c>
      <c r="N894" s="36">
        <v>890</v>
      </c>
      <c r="O894" s="41">
        <v>42998.867604166669</v>
      </c>
    </row>
    <row r="895" spans="2:15" x14ac:dyDescent="0.25">
      <c r="B895" s="36" t="s">
        <v>2948</v>
      </c>
      <c r="C895" s="35" t="s">
        <v>843</v>
      </c>
      <c r="D895" s="36" t="s">
        <v>1882</v>
      </c>
      <c r="E895" s="37">
        <v>4.4000000000000002E-7</v>
      </c>
      <c r="F895" s="38">
        <v>1.73398E-3</v>
      </c>
      <c r="G895" s="39">
        <v>105298</v>
      </c>
      <c r="H895" s="39"/>
      <c r="I895" s="40"/>
      <c r="J895" s="40">
        <v>934958841</v>
      </c>
      <c r="K895" s="46">
        <v>0.59</v>
      </c>
      <c r="L895" s="46">
        <v>-35</v>
      </c>
      <c r="M895" s="46">
        <v>-68.75</v>
      </c>
      <c r="N895" s="36">
        <v>891</v>
      </c>
      <c r="O895" s="41">
        <v>42998.867812500001</v>
      </c>
    </row>
    <row r="896" spans="2:15" x14ac:dyDescent="0.25">
      <c r="B896" s="36" t="s">
        <v>3264</v>
      </c>
      <c r="C896" s="35" t="s">
        <v>3265</v>
      </c>
      <c r="D896" s="36" t="s">
        <v>3266</v>
      </c>
      <c r="E896" s="37">
        <v>6.1999999999999999E-7</v>
      </c>
      <c r="F896" s="38">
        <v>2.4575500000000002E-3</v>
      </c>
      <c r="G896" s="39">
        <v>88782.8</v>
      </c>
      <c r="H896" s="39"/>
      <c r="I896" s="40"/>
      <c r="J896" s="40">
        <v>100000000000</v>
      </c>
      <c r="K896" s="46">
        <v>-4.62</v>
      </c>
      <c r="L896" s="46">
        <v>19.32</v>
      </c>
      <c r="M896" s="46">
        <v>28.18</v>
      </c>
      <c r="N896" s="36">
        <v>892</v>
      </c>
      <c r="O896" s="41">
        <v>42998.864560185182</v>
      </c>
    </row>
    <row r="897" spans="2:15" x14ac:dyDescent="0.25">
      <c r="B897" s="36" t="s">
        <v>2954</v>
      </c>
      <c r="C897" s="35" t="s">
        <v>846</v>
      </c>
      <c r="D897" s="36" t="s">
        <v>1885</v>
      </c>
      <c r="E897" s="37">
        <v>1.6999999999999999E-7</v>
      </c>
      <c r="F897" s="38">
        <v>6.8294700000000005E-4</v>
      </c>
      <c r="G897" s="39">
        <v>78741.5</v>
      </c>
      <c r="H897" s="39"/>
      <c r="I897" s="40"/>
      <c r="J897" s="40">
        <v>497214120</v>
      </c>
      <c r="K897" s="46">
        <v>8.15</v>
      </c>
      <c r="L897" s="46">
        <v>-41.1</v>
      </c>
      <c r="M897" s="46">
        <v>-63.65</v>
      </c>
      <c r="N897" s="36">
        <v>893</v>
      </c>
      <c r="O897" s="41">
        <v>42998.867766203701</v>
      </c>
    </row>
    <row r="898" spans="2:15" x14ac:dyDescent="0.25">
      <c r="B898" s="36" t="s">
        <v>2952</v>
      </c>
      <c r="C898" s="35" t="s">
        <v>844</v>
      </c>
      <c r="D898" s="36" t="s">
        <v>1883</v>
      </c>
      <c r="E898" s="37">
        <v>4.7729999999999999E-5</v>
      </c>
      <c r="F898" s="38">
        <v>0.18954199999999999</v>
      </c>
      <c r="G898" s="39">
        <v>72633.600000000006</v>
      </c>
      <c r="H898" s="39"/>
      <c r="I898" s="40"/>
      <c r="J898" s="40">
        <v>28634286</v>
      </c>
      <c r="K898" s="46">
        <v>-0.06</v>
      </c>
      <c r="L898" s="46">
        <v>-2.96</v>
      </c>
      <c r="M898" s="46">
        <v>0.04</v>
      </c>
      <c r="N898" s="36">
        <v>894</v>
      </c>
      <c r="O898" s="41">
        <v>42998.867997685185</v>
      </c>
    </row>
    <row r="899" spans="2:15" x14ac:dyDescent="0.25">
      <c r="B899" s="36" t="s">
        <v>2546</v>
      </c>
      <c r="C899" s="35" t="s">
        <v>577</v>
      </c>
      <c r="D899" s="36" t="s">
        <v>3239</v>
      </c>
      <c r="E899" s="37">
        <v>7.3999999999999996E-5</v>
      </c>
      <c r="F899" s="38">
        <v>0.29388599999999998</v>
      </c>
      <c r="G899" s="39">
        <v>51262.400000000001</v>
      </c>
      <c r="H899" s="39"/>
      <c r="I899" s="40"/>
      <c r="J899" s="40">
        <v>12595479</v>
      </c>
      <c r="K899" s="46">
        <v>1.39</v>
      </c>
      <c r="L899" s="46">
        <v>35.04</v>
      </c>
      <c r="M899" s="46">
        <v>210.47</v>
      </c>
      <c r="N899" s="36">
        <v>895</v>
      </c>
      <c r="O899" s="41">
        <v>42998.867743055554</v>
      </c>
    </row>
    <row r="900" spans="2:15" x14ac:dyDescent="0.25">
      <c r="B900" s="36" t="s">
        <v>3114</v>
      </c>
      <c r="C900" s="35" t="s">
        <v>968</v>
      </c>
      <c r="D900" s="36" t="s">
        <v>1997</v>
      </c>
      <c r="E900" s="37">
        <v>5.3000000000000001E-7</v>
      </c>
      <c r="F900" s="38">
        <v>2.1048600000000001E-3</v>
      </c>
      <c r="G900" s="39">
        <v>48885.4</v>
      </c>
      <c r="H900" s="39"/>
      <c r="I900" s="40"/>
      <c r="J900" s="40"/>
      <c r="K900" s="46">
        <v>20.45</v>
      </c>
      <c r="L900" s="46">
        <v>144.76</v>
      </c>
      <c r="M900" s="46">
        <v>100.06</v>
      </c>
      <c r="N900" s="36">
        <v>896</v>
      </c>
      <c r="O900" s="41">
        <v>42998.867604166669</v>
      </c>
    </row>
    <row r="901" spans="2:15" x14ac:dyDescent="0.25">
      <c r="B901" s="36" t="s">
        <v>2949</v>
      </c>
      <c r="C901" s="35" t="s">
        <v>842</v>
      </c>
      <c r="D901" s="36" t="s">
        <v>1881</v>
      </c>
      <c r="E901" s="37">
        <v>1.3831E-4</v>
      </c>
      <c r="F901" s="38">
        <v>0.549288</v>
      </c>
      <c r="G901" s="39">
        <v>48701.1</v>
      </c>
      <c r="H901" s="39"/>
      <c r="I901" s="40"/>
      <c r="J901" s="40">
        <v>500000000</v>
      </c>
      <c r="K901" s="46">
        <v>-1.32</v>
      </c>
      <c r="L901" s="46">
        <v>-4.82</v>
      </c>
      <c r="M901" s="46">
        <v>-5.23</v>
      </c>
      <c r="N901" s="36">
        <v>897</v>
      </c>
      <c r="O901" s="41">
        <v>42998.86755787037</v>
      </c>
    </row>
    <row r="902" spans="2:15" x14ac:dyDescent="0.25">
      <c r="B902" s="36" t="s">
        <v>3334</v>
      </c>
      <c r="C902" s="35" t="s">
        <v>3335</v>
      </c>
      <c r="D902" s="36" t="s">
        <v>3336</v>
      </c>
      <c r="E902" s="37">
        <v>5.7999999999999995E-7</v>
      </c>
      <c r="F902" s="38">
        <v>2.30328E-3</v>
      </c>
      <c r="G902" s="39">
        <v>44689.9</v>
      </c>
      <c r="H902" s="39"/>
      <c r="I902" s="40"/>
      <c r="J902" s="40"/>
      <c r="K902" s="46"/>
      <c r="L902" s="46"/>
      <c r="M902" s="46"/>
      <c r="N902" s="36">
        <v>898</v>
      </c>
      <c r="O902" s="41">
        <v>42998.867951388886</v>
      </c>
    </row>
    <row r="903" spans="2:15" x14ac:dyDescent="0.25">
      <c r="B903" s="36" t="s">
        <v>2943</v>
      </c>
      <c r="C903" s="35" t="s">
        <v>836</v>
      </c>
      <c r="D903" s="36" t="s">
        <v>1875</v>
      </c>
      <c r="E903" s="37">
        <v>1.449E-5</v>
      </c>
      <c r="F903" s="38">
        <v>5.7493200000000001E-2</v>
      </c>
      <c r="G903" s="39">
        <v>39729.199999999997</v>
      </c>
      <c r="H903" s="39"/>
      <c r="I903" s="40"/>
      <c r="J903" s="40"/>
      <c r="K903" s="46">
        <v>-0.3</v>
      </c>
      <c r="L903" s="46">
        <v>5.85</v>
      </c>
      <c r="M903" s="46">
        <v>10.34</v>
      </c>
      <c r="N903" s="36">
        <v>899</v>
      </c>
      <c r="O903" s="41">
        <v>42998.864525462966</v>
      </c>
    </row>
    <row r="904" spans="2:15" x14ac:dyDescent="0.25">
      <c r="B904" s="36" t="s">
        <v>2937</v>
      </c>
      <c r="C904" s="35" t="s">
        <v>831</v>
      </c>
      <c r="D904" s="36" t="s">
        <v>1870</v>
      </c>
      <c r="E904" s="37">
        <v>1.7240000000000001E-5</v>
      </c>
      <c r="F904" s="38">
        <v>6.8424200000000004E-2</v>
      </c>
      <c r="G904" s="39">
        <v>36689.1</v>
      </c>
      <c r="H904" s="39"/>
      <c r="I904" s="40"/>
      <c r="J904" s="40"/>
      <c r="K904" s="46">
        <v>-0.55000000000000004</v>
      </c>
      <c r="L904" s="46">
        <v>21.84</v>
      </c>
      <c r="M904" s="46">
        <v>-7.05</v>
      </c>
      <c r="N904" s="36">
        <v>900</v>
      </c>
      <c r="O904" s="41">
        <v>42998.86451388889</v>
      </c>
    </row>
    <row r="905" spans="2:15" x14ac:dyDescent="0.25">
      <c r="B905" s="36" t="s">
        <v>2975</v>
      </c>
      <c r="C905" s="35" t="s">
        <v>869</v>
      </c>
      <c r="D905" s="36" t="s">
        <v>1908</v>
      </c>
      <c r="E905" s="37">
        <v>1.1999999999999999E-3</v>
      </c>
      <c r="F905" s="38">
        <v>4.7622499999999999</v>
      </c>
      <c r="G905" s="39">
        <v>35395</v>
      </c>
      <c r="H905" s="39"/>
      <c r="I905" s="40"/>
      <c r="J905" s="40"/>
      <c r="K905" s="46">
        <v>-1.44</v>
      </c>
      <c r="L905" s="46">
        <v>-8.26</v>
      </c>
      <c r="M905" s="46">
        <v>-12.89</v>
      </c>
      <c r="N905" s="36">
        <v>901</v>
      </c>
      <c r="O905" s="41">
        <v>42998.864525462966</v>
      </c>
    </row>
    <row r="906" spans="2:15" x14ac:dyDescent="0.25">
      <c r="B906" s="36" t="s">
        <v>3307</v>
      </c>
      <c r="C906" s="35" t="s">
        <v>3308</v>
      </c>
      <c r="D906" s="36" t="s">
        <v>3309</v>
      </c>
      <c r="E906" s="37">
        <v>7.6039999999999997E-5</v>
      </c>
      <c r="F906" s="38">
        <v>0.30175999999999997</v>
      </c>
      <c r="G906" s="39">
        <v>29076.2</v>
      </c>
      <c r="H906" s="39"/>
      <c r="I906" s="40"/>
      <c r="J906" s="40">
        <v>100000000</v>
      </c>
      <c r="K906" s="46">
        <v>-23.45</v>
      </c>
      <c r="L906" s="46">
        <v>28.2</v>
      </c>
      <c r="M906" s="46"/>
      <c r="N906" s="36">
        <v>902</v>
      </c>
      <c r="O906" s="41">
        <v>42998.864548611113</v>
      </c>
    </row>
    <row r="907" spans="2:15" x14ac:dyDescent="0.25">
      <c r="B907" s="36" t="s">
        <v>2939</v>
      </c>
      <c r="C907" s="35" t="s">
        <v>832</v>
      </c>
      <c r="D907" s="36" t="s">
        <v>1871</v>
      </c>
      <c r="E907" s="37">
        <v>7.4610000000000006E-5</v>
      </c>
      <c r="F907" s="38">
        <v>0.29609000000000002</v>
      </c>
      <c r="G907" s="39">
        <v>22347</v>
      </c>
      <c r="H907" s="39"/>
      <c r="I907" s="40"/>
      <c r="J907" s="40"/>
      <c r="K907" s="46">
        <v>-0.3</v>
      </c>
      <c r="L907" s="46">
        <v>4.6100000000000003</v>
      </c>
      <c r="M907" s="46">
        <v>21.58</v>
      </c>
      <c r="N907" s="36">
        <v>903</v>
      </c>
      <c r="O907" s="41">
        <v>42998.864537037036</v>
      </c>
    </row>
    <row r="908" spans="2:15" x14ac:dyDescent="0.25">
      <c r="B908" s="36" t="s">
        <v>3267</v>
      </c>
      <c r="C908" s="35" t="s">
        <v>3268</v>
      </c>
      <c r="D908" s="36" t="s">
        <v>3269</v>
      </c>
      <c r="E908" s="37">
        <v>2.2414000000000001E-4</v>
      </c>
      <c r="F908" s="38">
        <v>0.88950799999999997</v>
      </c>
      <c r="G908" s="39">
        <v>22093.599999999999</v>
      </c>
      <c r="H908" s="39"/>
      <c r="I908" s="40"/>
      <c r="J908" s="40">
        <v>21000000</v>
      </c>
      <c r="K908" s="46">
        <v>-0.42</v>
      </c>
      <c r="L908" s="46">
        <v>-0.11</v>
      </c>
      <c r="M908" s="46">
        <v>14.17</v>
      </c>
      <c r="N908" s="36">
        <v>904</v>
      </c>
      <c r="O908" s="41">
        <v>42998.864537037036</v>
      </c>
    </row>
    <row r="909" spans="2:15" x14ac:dyDescent="0.25">
      <c r="B909" s="36" t="s">
        <v>2979</v>
      </c>
      <c r="C909" s="35" t="s">
        <v>871</v>
      </c>
      <c r="D909" s="36" t="s">
        <v>1910</v>
      </c>
      <c r="E909" s="37">
        <v>1.205E-5</v>
      </c>
      <c r="F909" s="38">
        <v>4.7855700000000001E-2</v>
      </c>
      <c r="G909" s="39">
        <v>14432.7</v>
      </c>
      <c r="H909" s="39"/>
      <c r="I909" s="40"/>
      <c r="J909" s="40"/>
      <c r="K909" s="46">
        <v>-0.05</v>
      </c>
      <c r="L909" s="46">
        <v>1.51</v>
      </c>
      <c r="M909" s="46">
        <v>-5.29</v>
      </c>
      <c r="N909" s="36">
        <v>905</v>
      </c>
      <c r="O909" s="41">
        <v>42998.867789351854</v>
      </c>
    </row>
    <row r="910" spans="2:15" x14ac:dyDescent="0.25">
      <c r="B910" s="36" t="s">
        <v>3010</v>
      </c>
      <c r="C910" s="35" t="s">
        <v>847</v>
      </c>
      <c r="D910" s="36" t="s">
        <v>1886</v>
      </c>
      <c r="E910" s="37">
        <v>3.8000000000000001E-7</v>
      </c>
      <c r="F910" s="38">
        <v>1.4947000000000001E-3</v>
      </c>
      <c r="G910" s="39">
        <v>13751.8</v>
      </c>
      <c r="H910" s="39"/>
      <c r="I910" s="40"/>
      <c r="J910" s="40">
        <v>560211620</v>
      </c>
      <c r="K910" s="46">
        <v>27.98</v>
      </c>
      <c r="L910" s="46">
        <v>32.729999999999997</v>
      </c>
      <c r="M910" s="46">
        <v>11.13</v>
      </c>
      <c r="N910" s="36">
        <v>906</v>
      </c>
      <c r="O910" s="41">
        <v>42998.864525462966</v>
      </c>
    </row>
    <row r="911" spans="2:15" x14ac:dyDescent="0.25">
      <c r="B911" s="36" t="s">
        <v>2962</v>
      </c>
      <c r="C911" s="35" t="s">
        <v>862</v>
      </c>
      <c r="D911" s="36" t="s">
        <v>1901</v>
      </c>
      <c r="E911" s="37">
        <v>1.5557E-4</v>
      </c>
      <c r="F911" s="38">
        <v>0.61783500000000002</v>
      </c>
      <c r="G911" s="39">
        <v>12552.9</v>
      </c>
      <c r="H911" s="39"/>
      <c r="I911" s="40"/>
      <c r="J911" s="40"/>
      <c r="K911" s="46">
        <v>-0.35</v>
      </c>
      <c r="L911" s="46">
        <v>1.34</v>
      </c>
      <c r="M911" s="46">
        <v>-0.26</v>
      </c>
      <c r="N911" s="36">
        <v>907</v>
      </c>
      <c r="O911" s="41">
        <v>42998.867905092593</v>
      </c>
    </row>
    <row r="912" spans="2:15" x14ac:dyDescent="0.25">
      <c r="B912" s="36" t="s">
        <v>867</v>
      </c>
      <c r="C912" s="35" t="s">
        <v>867</v>
      </c>
      <c r="D912" s="36" t="s">
        <v>1906</v>
      </c>
      <c r="E912" s="37">
        <v>6.8800000000000002E-6</v>
      </c>
      <c r="F912" s="38">
        <v>2.7292899999999998E-2</v>
      </c>
      <c r="G912" s="39">
        <v>12432.8</v>
      </c>
      <c r="H912" s="39"/>
      <c r="I912" s="40"/>
      <c r="J912" s="40">
        <v>10000000000</v>
      </c>
      <c r="K912" s="46">
        <v>-0.5</v>
      </c>
      <c r="L912" s="46">
        <v>-10.41</v>
      </c>
      <c r="M912" s="46">
        <v>-4.5199999999999996</v>
      </c>
      <c r="N912" s="36">
        <v>908</v>
      </c>
      <c r="O912" s="41">
        <v>42998.864525462966</v>
      </c>
    </row>
    <row r="913" spans="2:15" x14ac:dyDescent="0.25">
      <c r="B913" s="36" t="s">
        <v>3208</v>
      </c>
      <c r="C913" s="35" t="s">
        <v>3209</v>
      </c>
      <c r="D913" s="36" t="s">
        <v>3210</v>
      </c>
      <c r="E913" s="37">
        <v>2.0000000000000002E-5</v>
      </c>
      <c r="F913" s="38">
        <v>7.9370800000000005E-2</v>
      </c>
      <c r="G913" s="39">
        <v>12393.6</v>
      </c>
      <c r="H913" s="39"/>
      <c r="I913" s="40"/>
      <c r="J913" s="40"/>
      <c r="K913" s="46">
        <v>-1.96</v>
      </c>
      <c r="L913" s="46">
        <v>26.48</v>
      </c>
      <c r="M913" s="46">
        <v>37.54</v>
      </c>
      <c r="N913" s="36">
        <v>909</v>
      </c>
      <c r="O913" s="41">
        <v>42998.864525462966</v>
      </c>
    </row>
    <row r="914" spans="2:15" x14ac:dyDescent="0.25">
      <c r="B914" s="36" t="s">
        <v>2989</v>
      </c>
      <c r="C914" s="35" t="s">
        <v>865</v>
      </c>
      <c r="D914" s="36" t="s">
        <v>1904</v>
      </c>
      <c r="E914" s="37">
        <v>8.1009999999999999E-5</v>
      </c>
      <c r="F914" s="38">
        <v>0.32172499999999998</v>
      </c>
      <c r="G914" s="39">
        <v>10646.5</v>
      </c>
      <c r="H914" s="39"/>
      <c r="I914" s="40"/>
      <c r="J914" s="40">
        <v>3415923</v>
      </c>
      <c r="K914" s="46">
        <v>-3.19</v>
      </c>
      <c r="L914" s="46">
        <v>0.18</v>
      </c>
      <c r="M914" s="46">
        <v>18.93</v>
      </c>
      <c r="N914" s="36">
        <v>910</v>
      </c>
      <c r="O914" s="41">
        <v>42998.868009259262</v>
      </c>
    </row>
    <row r="915" spans="2:15" x14ac:dyDescent="0.25">
      <c r="B915" s="36" t="s">
        <v>2984</v>
      </c>
      <c r="C915" s="35" t="s">
        <v>885</v>
      </c>
      <c r="D915" s="36" t="s">
        <v>1922</v>
      </c>
      <c r="E915" s="37">
        <v>1.7E-6</v>
      </c>
      <c r="F915" s="38">
        <v>6.7514300000000001E-3</v>
      </c>
      <c r="G915" s="39">
        <v>9304.66</v>
      </c>
      <c r="H915" s="39"/>
      <c r="I915" s="40"/>
      <c r="J915" s="40"/>
      <c r="K915" s="46">
        <v>-0.05</v>
      </c>
      <c r="L915" s="46">
        <v>23.25</v>
      </c>
      <c r="M915" s="46">
        <v>12.78</v>
      </c>
      <c r="N915" s="36">
        <v>911</v>
      </c>
      <c r="O915" s="41">
        <v>42998.867754629631</v>
      </c>
    </row>
    <row r="916" spans="2:15" x14ac:dyDescent="0.25">
      <c r="B916" s="36" t="s">
        <v>2525</v>
      </c>
      <c r="C916" s="35" t="s">
        <v>419</v>
      </c>
      <c r="D916" s="36" t="s">
        <v>3273</v>
      </c>
      <c r="E916" s="37">
        <v>1.8320000000000001E-5</v>
      </c>
      <c r="F916" s="38">
        <v>7.2771799999999998E-2</v>
      </c>
      <c r="G916" s="39">
        <v>8835.7999999999993</v>
      </c>
      <c r="H916" s="39"/>
      <c r="I916" s="40"/>
      <c r="J916" s="40">
        <v>23742075</v>
      </c>
      <c r="K916" s="46">
        <v>6.99</v>
      </c>
      <c r="L916" s="46">
        <v>23</v>
      </c>
      <c r="M916" s="46">
        <v>21.15</v>
      </c>
      <c r="N916" s="36">
        <v>912</v>
      </c>
      <c r="O916" s="41">
        <v>42998.867615740739</v>
      </c>
    </row>
    <row r="917" spans="2:15" x14ac:dyDescent="0.25">
      <c r="B917" s="36" t="s">
        <v>3001</v>
      </c>
      <c r="C917" s="35" t="s">
        <v>884</v>
      </c>
      <c r="D917" s="36" t="s">
        <v>1921</v>
      </c>
      <c r="E917" s="37">
        <v>1.84745E-3</v>
      </c>
      <c r="F917" s="38">
        <v>7.3370300000000004</v>
      </c>
      <c r="G917" s="39">
        <v>6597.66</v>
      </c>
      <c r="H917" s="39"/>
      <c r="I917" s="40"/>
      <c r="J917" s="40">
        <v>10000000</v>
      </c>
      <c r="K917" s="46">
        <v>-0.53</v>
      </c>
      <c r="L917" s="46">
        <v>27.55</v>
      </c>
      <c r="M917" s="46">
        <v>67.56</v>
      </c>
      <c r="N917" s="36">
        <v>913</v>
      </c>
      <c r="O917" s="41">
        <v>42998.867951388886</v>
      </c>
    </row>
    <row r="918" spans="2:15" x14ac:dyDescent="0.25">
      <c r="B918" s="36" t="s">
        <v>3073</v>
      </c>
      <c r="C918" s="35" t="s">
        <v>999</v>
      </c>
      <c r="D918" s="36" t="s">
        <v>2026</v>
      </c>
      <c r="E918" s="37">
        <v>3.3000000000000002E-7</v>
      </c>
      <c r="F918" s="42">
        <v>1.3105700000000001E-3</v>
      </c>
      <c r="G918" s="39">
        <v>6215.28</v>
      </c>
      <c r="H918" s="39"/>
      <c r="I918" s="40"/>
      <c r="J918" s="40">
        <v>99000001</v>
      </c>
      <c r="K918" s="46">
        <v>-3.94</v>
      </c>
      <c r="L918" s="46">
        <v>-4.29</v>
      </c>
      <c r="M918" s="46">
        <v>57.35</v>
      </c>
      <c r="N918" s="36">
        <v>914</v>
      </c>
      <c r="O918" s="41">
        <v>42998.867893518516</v>
      </c>
    </row>
    <row r="919" spans="2:15" x14ac:dyDescent="0.25">
      <c r="B919" s="36" t="s">
        <v>3091</v>
      </c>
      <c r="C919" s="35" t="s">
        <v>992</v>
      </c>
      <c r="D919" s="36" t="s">
        <v>2019</v>
      </c>
      <c r="E919" s="37">
        <v>2.9999999999999997E-8</v>
      </c>
      <c r="F919" s="38">
        <v>1.1914299999999999E-4</v>
      </c>
      <c r="G919" s="39">
        <v>6024.61</v>
      </c>
      <c r="H919" s="39"/>
      <c r="I919" s="40"/>
      <c r="J919" s="40">
        <v>549267534</v>
      </c>
      <c r="K919" s="46">
        <v>49.93</v>
      </c>
      <c r="L919" s="46">
        <v>52.26</v>
      </c>
      <c r="M919" s="46">
        <v>52.88</v>
      </c>
      <c r="N919" s="36">
        <v>915</v>
      </c>
      <c r="O919" s="41">
        <v>42998.867569444446</v>
      </c>
    </row>
    <row r="920" spans="2:15" x14ac:dyDescent="0.25">
      <c r="B920" s="36" t="s">
        <v>3007</v>
      </c>
      <c r="C920" s="35" t="s">
        <v>891</v>
      </c>
      <c r="D920" s="36" t="s">
        <v>1928</v>
      </c>
      <c r="E920" s="37">
        <v>7.7620000000000006E-5</v>
      </c>
      <c r="F920" s="38">
        <v>0.30826199999999998</v>
      </c>
      <c r="G920" s="39">
        <v>4831.62</v>
      </c>
      <c r="H920" s="39"/>
      <c r="I920" s="40"/>
      <c r="J920" s="40"/>
      <c r="K920" s="46">
        <v>-1.1299999999999999</v>
      </c>
      <c r="L920" s="46">
        <v>-8.99</v>
      </c>
      <c r="M920" s="46">
        <v>-5.86</v>
      </c>
      <c r="N920" s="36">
        <v>916</v>
      </c>
      <c r="O920" s="41">
        <v>42998.867650462962</v>
      </c>
    </row>
    <row r="921" spans="2:15" x14ac:dyDescent="0.25">
      <c r="B921" s="36" t="s">
        <v>3033</v>
      </c>
      <c r="C921" s="35" t="s">
        <v>939</v>
      </c>
      <c r="D921" s="36" t="s">
        <v>1969</v>
      </c>
      <c r="E921" s="37">
        <v>4.0999999999999999E-7</v>
      </c>
      <c r="F921" s="38">
        <v>1.62268E-3</v>
      </c>
      <c r="G921" s="39">
        <v>4733.12</v>
      </c>
      <c r="H921" s="39"/>
      <c r="I921" s="40"/>
      <c r="J921" s="40">
        <v>41710640</v>
      </c>
      <c r="K921" s="46">
        <v>-0.11</v>
      </c>
      <c r="L921" s="46">
        <v>70.86</v>
      </c>
      <c r="M921" s="46">
        <v>127.22</v>
      </c>
      <c r="N921" s="36">
        <v>917</v>
      </c>
      <c r="O921" s="41">
        <v>42998.867847222224</v>
      </c>
    </row>
    <row r="922" spans="2:15" x14ac:dyDescent="0.25">
      <c r="B922" s="36" t="s">
        <v>3090</v>
      </c>
      <c r="C922" s="35" t="s">
        <v>1005</v>
      </c>
      <c r="D922" s="36" t="s">
        <v>2032</v>
      </c>
      <c r="E922" s="37">
        <v>2.5900000000000002E-6</v>
      </c>
      <c r="F922" s="38">
        <v>1.0286E-2</v>
      </c>
      <c r="G922" s="39">
        <v>4002.55</v>
      </c>
      <c r="H922" s="39"/>
      <c r="I922" s="40"/>
      <c r="J922" s="40"/>
      <c r="K922" s="46">
        <v>-16.14</v>
      </c>
      <c r="L922" s="46">
        <v>-42.16</v>
      </c>
      <c r="M922" s="46">
        <v>103.53</v>
      </c>
      <c r="N922" s="36">
        <v>918</v>
      </c>
      <c r="O922" s="41">
        <v>42998.867534722223</v>
      </c>
    </row>
    <row r="923" spans="2:15" x14ac:dyDescent="0.25">
      <c r="B923" s="36" t="s">
        <v>3279</v>
      </c>
      <c r="C923" s="35" t="s">
        <v>3280</v>
      </c>
      <c r="D923" s="36" t="s">
        <v>3281</v>
      </c>
      <c r="E923" s="37">
        <v>7.75E-5</v>
      </c>
      <c r="F923" s="38">
        <v>0.307562</v>
      </c>
      <c r="G923" s="39">
        <v>3690.68</v>
      </c>
      <c r="H923" s="39"/>
      <c r="I923" s="40"/>
      <c r="J923" s="40"/>
      <c r="K923" s="46">
        <v>-0.25</v>
      </c>
      <c r="L923" s="46">
        <v>4.76</v>
      </c>
      <c r="M923" s="46"/>
      <c r="N923" s="36">
        <v>919</v>
      </c>
      <c r="O923" s="41">
        <v>42998.864537037036</v>
      </c>
    </row>
    <row r="924" spans="2:15" x14ac:dyDescent="0.25">
      <c r="B924" s="36" t="s">
        <v>3159</v>
      </c>
      <c r="C924" s="35" t="s">
        <v>1050</v>
      </c>
      <c r="D924" s="36" t="s">
        <v>2074</v>
      </c>
      <c r="E924" s="37">
        <v>1.0699999999999999E-6</v>
      </c>
      <c r="F924" s="38">
        <v>4.2494300000000002E-3</v>
      </c>
      <c r="G924" s="39">
        <v>3547.03</v>
      </c>
      <c r="H924" s="39"/>
      <c r="I924" s="40"/>
      <c r="J924" s="40">
        <v>42400870</v>
      </c>
      <c r="K924" s="46">
        <v>-0.05</v>
      </c>
      <c r="L924" s="46">
        <v>8.5299999999999994</v>
      </c>
      <c r="M924" s="46">
        <v>1111.77</v>
      </c>
      <c r="N924" s="36">
        <v>920</v>
      </c>
      <c r="O924" s="41">
        <v>42998.867812500001</v>
      </c>
    </row>
    <row r="925" spans="2:15" x14ac:dyDescent="0.25">
      <c r="B925" s="36" t="s">
        <v>2978</v>
      </c>
      <c r="C925" s="35" t="s">
        <v>870</v>
      </c>
      <c r="D925" s="36" t="s">
        <v>1909</v>
      </c>
      <c r="E925" s="37">
        <v>7.25E-6</v>
      </c>
      <c r="F925" s="38">
        <v>2.87719E-2</v>
      </c>
      <c r="G925" s="39">
        <v>2720.2</v>
      </c>
      <c r="H925" s="39"/>
      <c r="I925" s="40"/>
      <c r="J925" s="40">
        <v>501237839</v>
      </c>
      <c r="K925" s="46">
        <v>-2.66</v>
      </c>
      <c r="L925" s="46">
        <v>1.37</v>
      </c>
      <c r="M925" s="46">
        <v>28.35</v>
      </c>
      <c r="N925" s="36">
        <v>921</v>
      </c>
      <c r="O925" s="41">
        <v>42998.864525462966</v>
      </c>
    </row>
    <row r="926" spans="2:15" x14ac:dyDescent="0.25">
      <c r="B926" s="36" t="s">
        <v>3005</v>
      </c>
      <c r="C926" s="35" t="s">
        <v>890</v>
      </c>
      <c r="D926" s="36" t="s">
        <v>1927</v>
      </c>
      <c r="E926" s="37">
        <v>8.8000000000000004E-7</v>
      </c>
      <c r="F926" s="38">
        <v>3.4781299999999999E-3</v>
      </c>
      <c r="G926" s="39">
        <v>2433.83</v>
      </c>
      <c r="H926" s="39"/>
      <c r="I926" s="40"/>
      <c r="J926" s="40">
        <v>80442794</v>
      </c>
      <c r="K926" s="46">
        <v>-1.06</v>
      </c>
      <c r="L926" s="46">
        <v>-1.56</v>
      </c>
      <c r="M926" s="46">
        <v>-17.32</v>
      </c>
      <c r="N926" s="36">
        <v>922</v>
      </c>
      <c r="O926" s="41">
        <v>42998.867615740739</v>
      </c>
    </row>
    <row r="927" spans="2:15" x14ac:dyDescent="0.25">
      <c r="B927" s="36" t="s">
        <v>2996</v>
      </c>
      <c r="C927" s="35" t="s">
        <v>886</v>
      </c>
      <c r="D927" s="36" t="s">
        <v>1923</v>
      </c>
      <c r="E927" s="37">
        <v>1.8110000000000001E-5</v>
      </c>
      <c r="F927" s="38">
        <v>7.1922600000000003E-2</v>
      </c>
      <c r="G927" s="39">
        <v>2382.86</v>
      </c>
      <c r="H927" s="39"/>
      <c r="I927" s="40"/>
      <c r="J927" s="40">
        <v>30993751760</v>
      </c>
      <c r="K927" s="46">
        <v>-0.12</v>
      </c>
      <c r="L927" s="46">
        <v>1.55</v>
      </c>
      <c r="M927" s="46">
        <v>8.74</v>
      </c>
      <c r="N927" s="36">
        <v>923</v>
      </c>
      <c r="O927" s="41">
        <v>42998.867789351854</v>
      </c>
    </row>
    <row r="928" spans="2:15" x14ac:dyDescent="0.25">
      <c r="B928" s="36" t="s">
        <v>3014</v>
      </c>
      <c r="C928" s="35" t="s">
        <v>928</v>
      </c>
      <c r="D928" s="36" t="s">
        <v>1958</v>
      </c>
      <c r="E928" s="37">
        <v>1.8500000000000001E-6</v>
      </c>
      <c r="F928" s="38">
        <v>7.3648699999999999E-3</v>
      </c>
      <c r="G928" s="39">
        <v>2364.89</v>
      </c>
      <c r="H928" s="39"/>
      <c r="I928" s="40"/>
      <c r="J928" s="40"/>
      <c r="K928" s="46">
        <v>-0.41</v>
      </c>
      <c r="L928" s="46">
        <v>-2.54</v>
      </c>
      <c r="M928" s="46">
        <v>83.96</v>
      </c>
      <c r="N928" s="36">
        <v>924</v>
      </c>
      <c r="O928" s="41">
        <v>42998.867951388886</v>
      </c>
    </row>
    <row r="929" spans="2:15" x14ac:dyDescent="0.25">
      <c r="B929" s="36" t="s">
        <v>3310</v>
      </c>
      <c r="C929" s="35" t="s">
        <v>3311</v>
      </c>
      <c r="D929" s="36" t="s">
        <v>3312</v>
      </c>
      <c r="E929" s="37">
        <v>8.0980000000000001E-5</v>
      </c>
      <c r="F929" s="38">
        <v>0.32138699999999998</v>
      </c>
      <c r="G929" s="39">
        <v>2163.4699999999998</v>
      </c>
      <c r="H929" s="39"/>
      <c r="I929" s="40"/>
      <c r="J929" s="40">
        <v>16714020</v>
      </c>
      <c r="K929" s="46">
        <v>-0.3</v>
      </c>
      <c r="L929" s="46">
        <v>-9.86</v>
      </c>
      <c r="M929" s="46"/>
      <c r="N929" s="36">
        <v>925</v>
      </c>
      <c r="O929" s="41">
        <v>42998.864560185182</v>
      </c>
    </row>
    <row r="930" spans="2:15" x14ac:dyDescent="0.25">
      <c r="B930" s="36" t="s">
        <v>2995</v>
      </c>
      <c r="C930" s="35" t="s">
        <v>889</v>
      </c>
      <c r="D930" s="36" t="s">
        <v>1926</v>
      </c>
      <c r="E930" s="37">
        <v>1.0000000000000001E-9</v>
      </c>
      <c r="F930" s="38">
        <v>5.1715000000000004E-6</v>
      </c>
      <c r="G930" s="39">
        <v>2129.4499999999998</v>
      </c>
      <c r="H930" s="39"/>
      <c r="I930" s="40"/>
      <c r="J930" s="40">
        <v>499001904270</v>
      </c>
      <c r="K930" s="46">
        <v>-34.619999999999997</v>
      </c>
      <c r="L930" s="46">
        <v>-41.31</v>
      </c>
      <c r="M930" s="46">
        <v>-66</v>
      </c>
      <c r="N930" s="36">
        <v>926</v>
      </c>
      <c r="O930" s="41">
        <v>42998.867754629631</v>
      </c>
    </row>
    <row r="931" spans="2:15" x14ac:dyDescent="0.25">
      <c r="B931" s="36" t="s">
        <v>2965</v>
      </c>
      <c r="C931" s="35" t="s">
        <v>859</v>
      </c>
      <c r="D931" s="36" t="s">
        <v>1898</v>
      </c>
      <c r="E931" s="37">
        <v>0.101422</v>
      </c>
      <c r="F931" s="42">
        <v>402.79</v>
      </c>
      <c r="G931" s="39">
        <v>1930.36</v>
      </c>
      <c r="H931" s="39"/>
      <c r="I931" s="40"/>
      <c r="J931" s="40"/>
      <c r="K931" s="46"/>
      <c r="L931" s="46">
        <v>-4.33</v>
      </c>
      <c r="M931" s="46">
        <v>-18.82</v>
      </c>
      <c r="N931" s="36">
        <v>927</v>
      </c>
      <c r="O931" s="41">
        <v>42998.867881944447</v>
      </c>
    </row>
    <row r="932" spans="2:15" x14ac:dyDescent="0.25">
      <c r="B932" s="36" t="s">
        <v>3230</v>
      </c>
      <c r="C932" s="35" t="s">
        <v>3231</v>
      </c>
      <c r="D932" s="36" t="s">
        <v>3232</v>
      </c>
      <c r="E932" s="37">
        <v>1.224E-5</v>
      </c>
      <c r="F932" s="38">
        <v>4.8581800000000001E-2</v>
      </c>
      <c r="G932" s="39">
        <v>1913.37</v>
      </c>
      <c r="H932" s="39"/>
      <c r="I932" s="40"/>
      <c r="J932" s="40">
        <v>20000000</v>
      </c>
      <c r="K932" s="46">
        <v>-0.3</v>
      </c>
      <c r="L932" s="46">
        <v>-69.650000000000006</v>
      </c>
      <c r="M932" s="46">
        <v>-49.96</v>
      </c>
      <c r="N932" s="36">
        <v>928</v>
      </c>
      <c r="O932" s="41">
        <v>42998.864525462966</v>
      </c>
    </row>
    <row r="933" spans="2:15" x14ac:dyDescent="0.25">
      <c r="B933" s="36" t="s">
        <v>2966</v>
      </c>
      <c r="C933" s="35" t="s">
        <v>860</v>
      </c>
      <c r="D933" s="36" t="s">
        <v>1899</v>
      </c>
      <c r="E933" s="37">
        <v>4.5999999999999999E-7</v>
      </c>
      <c r="F933" s="38">
        <v>1.8404599999999999E-3</v>
      </c>
      <c r="G933" s="39">
        <v>1899</v>
      </c>
      <c r="H933" s="39"/>
      <c r="I933" s="40"/>
      <c r="J933" s="40">
        <v>660180215</v>
      </c>
      <c r="K933" s="46">
        <v>0</v>
      </c>
      <c r="L933" s="46">
        <v>-27.33</v>
      </c>
      <c r="M933" s="46">
        <v>-15.77</v>
      </c>
      <c r="N933" s="36">
        <v>929</v>
      </c>
      <c r="O933" s="41">
        <v>42998.868009259262</v>
      </c>
    </row>
    <row r="934" spans="2:15" x14ac:dyDescent="0.25">
      <c r="B934" s="36" t="s">
        <v>2998</v>
      </c>
      <c r="C934" s="35" t="s">
        <v>915</v>
      </c>
      <c r="D934" s="36" t="s">
        <v>1948</v>
      </c>
      <c r="E934" s="37">
        <v>1.04E-6</v>
      </c>
      <c r="F934" s="38">
        <v>4.13029E-3</v>
      </c>
      <c r="G934" s="39">
        <v>1620.28</v>
      </c>
      <c r="H934" s="39"/>
      <c r="I934" s="40"/>
      <c r="J934" s="40"/>
      <c r="K934" s="46">
        <v>-0.05</v>
      </c>
      <c r="L934" s="46">
        <v>3.22</v>
      </c>
      <c r="M934" s="46">
        <v>9.83</v>
      </c>
      <c r="N934" s="36">
        <v>930</v>
      </c>
      <c r="O934" s="41">
        <v>42998.867951388886</v>
      </c>
    </row>
    <row r="935" spans="2:15" x14ac:dyDescent="0.25">
      <c r="B935" s="36" t="s">
        <v>3008</v>
      </c>
      <c r="C935" s="35" t="s">
        <v>911</v>
      </c>
      <c r="D935" s="36" t="s">
        <v>1945</v>
      </c>
      <c r="E935" s="37">
        <v>1.9999999999999999E-11</v>
      </c>
      <c r="F935" s="38">
        <v>7.9899999999999994E-8</v>
      </c>
      <c r="G935" s="39">
        <v>1539.47</v>
      </c>
      <c r="H935" s="39"/>
      <c r="I935" s="40"/>
      <c r="J935" s="40"/>
      <c r="K935" s="46">
        <v>-6.76</v>
      </c>
      <c r="L935" s="46">
        <v>-15.55</v>
      </c>
      <c r="M935" s="46">
        <v>-22.48</v>
      </c>
      <c r="N935" s="36">
        <v>931</v>
      </c>
      <c r="O935" s="41">
        <v>42998.867777777778</v>
      </c>
    </row>
    <row r="936" spans="2:15" x14ac:dyDescent="0.25">
      <c r="B936" s="36" t="s">
        <v>2990</v>
      </c>
      <c r="C936" s="35" t="s">
        <v>1060</v>
      </c>
      <c r="D936" s="36" t="s">
        <v>2083</v>
      </c>
      <c r="E936" s="37">
        <v>2.8000000000000002E-7</v>
      </c>
      <c r="F936" s="38">
        <v>1.1119999999999999E-3</v>
      </c>
      <c r="G936" s="39">
        <v>1475.86</v>
      </c>
      <c r="H936" s="39"/>
      <c r="I936" s="40"/>
      <c r="J936" s="40"/>
      <c r="K936" s="46">
        <v>-0.06</v>
      </c>
      <c r="L936" s="46">
        <v>-1.42</v>
      </c>
      <c r="M936" s="46">
        <v>-2.77</v>
      </c>
      <c r="N936" s="36">
        <v>932</v>
      </c>
      <c r="O936" s="41">
        <v>42998.867962962962</v>
      </c>
    </row>
    <row r="937" spans="2:15" x14ac:dyDescent="0.25">
      <c r="B937" s="36" t="s">
        <v>3040</v>
      </c>
      <c r="C937" s="35" t="s">
        <v>913</v>
      </c>
      <c r="D937" s="36" t="s">
        <v>1947</v>
      </c>
      <c r="E937" s="37">
        <v>8.9999999999999999E-10</v>
      </c>
      <c r="F937" s="38">
        <v>3.4701999999999998E-6</v>
      </c>
      <c r="G937" s="39">
        <v>1343.93</v>
      </c>
      <c r="H937" s="39"/>
      <c r="I937" s="40"/>
      <c r="J937" s="40"/>
      <c r="K937" s="46">
        <v>-0.28000000000000003</v>
      </c>
      <c r="L937" s="46">
        <v>-91.12</v>
      </c>
      <c r="M937" s="46">
        <v>-65.03</v>
      </c>
      <c r="N937" s="36">
        <v>933</v>
      </c>
      <c r="O937" s="41">
        <v>42998.864525462966</v>
      </c>
    </row>
    <row r="938" spans="2:15" x14ac:dyDescent="0.25">
      <c r="B938" s="36" t="s">
        <v>2981</v>
      </c>
      <c r="C938" s="35" t="s">
        <v>872</v>
      </c>
      <c r="D938" s="36" t="s">
        <v>1887</v>
      </c>
      <c r="E938" s="37">
        <v>4.1491200000000001E-3</v>
      </c>
      <c r="F938" s="42">
        <v>16.477900000000002</v>
      </c>
      <c r="G938" s="39">
        <v>1278.43</v>
      </c>
      <c r="H938" s="39"/>
      <c r="I938" s="40"/>
      <c r="J938" s="40">
        <v>210000000</v>
      </c>
      <c r="K938" s="46">
        <v>4.96</v>
      </c>
      <c r="L938" s="46">
        <v>3.32</v>
      </c>
      <c r="M938" s="46">
        <v>74.16</v>
      </c>
      <c r="N938" s="36">
        <v>934</v>
      </c>
      <c r="O938" s="41">
        <v>42998.867708333331</v>
      </c>
    </row>
    <row r="939" spans="2:15" x14ac:dyDescent="0.25">
      <c r="B939" s="36" t="s">
        <v>3097</v>
      </c>
      <c r="C939" s="35" t="s">
        <v>1021</v>
      </c>
      <c r="D939" s="36" t="s">
        <v>2047</v>
      </c>
      <c r="E939" s="37">
        <v>1E-8</v>
      </c>
      <c r="F939" s="38">
        <v>3.97143E-5</v>
      </c>
      <c r="G939" s="39">
        <v>1213.56</v>
      </c>
      <c r="H939" s="39"/>
      <c r="I939" s="40"/>
      <c r="J939" s="40"/>
      <c r="K939" s="46">
        <v>-0.05</v>
      </c>
      <c r="L939" s="46">
        <v>1.51</v>
      </c>
      <c r="M939" s="46">
        <v>1.92</v>
      </c>
      <c r="N939" s="36">
        <v>935</v>
      </c>
      <c r="O939" s="41">
        <v>42998.867638888885</v>
      </c>
    </row>
    <row r="940" spans="2:15" x14ac:dyDescent="0.25">
      <c r="B940" s="36" t="s">
        <v>3029</v>
      </c>
      <c r="C940" s="35" t="s">
        <v>925</v>
      </c>
      <c r="D940" s="36" t="s">
        <v>1956</v>
      </c>
      <c r="E940" s="37">
        <v>8.8827100000000003E-3</v>
      </c>
      <c r="F940" s="38">
        <v>35.277099999999997</v>
      </c>
      <c r="G940" s="39">
        <v>1154.53</v>
      </c>
      <c r="H940" s="39"/>
      <c r="I940" s="40"/>
      <c r="J940" s="40">
        <v>916462</v>
      </c>
      <c r="K940" s="46">
        <v>-0.24</v>
      </c>
      <c r="L940" s="46">
        <v>15.12</v>
      </c>
      <c r="M940" s="46">
        <v>4.83</v>
      </c>
      <c r="N940" s="36">
        <v>936</v>
      </c>
      <c r="O940" s="41">
        <v>42998.867986111109</v>
      </c>
    </row>
    <row r="941" spans="2:15" x14ac:dyDescent="0.25">
      <c r="B941" s="36" t="s">
        <v>2941</v>
      </c>
      <c r="C941" s="35" t="s">
        <v>839</v>
      </c>
      <c r="D941" s="36" t="s">
        <v>1878</v>
      </c>
      <c r="E941" s="37">
        <v>3.0000000000000001E-5</v>
      </c>
      <c r="F941" s="38">
        <v>0.119056</v>
      </c>
      <c r="G941" s="39">
        <v>1105.5</v>
      </c>
      <c r="H941" s="39"/>
      <c r="I941" s="40"/>
      <c r="J941" s="40"/>
      <c r="K941" s="46">
        <v>-0.25</v>
      </c>
      <c r="L941" s="46">
        <v>1.37</v>
      </c>
      <c r="M941" s="46">
        <v>1.86</v>
      </c>
      <c r="N941" s="36">
        <v>937</v>
      </c>
      <c r="O941" s="41">
        <v>42998.864525462966</v>
      </c>
    </row>
    <row r="942" spans="2:15" x14ac:dyDescent="0.25">
      <c r="B942" s="36" t="s">
        <v>3079</v>
      </c>
      <c r="C942" s="35" t="s">
        <v>935</v>
      </c>
      <c r="D942" s="36" t="s">
        <v>1965</v>
      </c>
      <c r="E942" s="37">
        <v>3.4599999999999999E-6</v>
      </c>
      <c r="F942" s="38">
        <v>1.3736999999999999E-2</v>
      </c>
      <c r="G942" s="39">
        <v>1052.8399999999999</v>
      </c>
      <c r="H942" s="39"/>
      <c r="I942" s="40"/>
      <c r="J942" s="40">
        <v>3407292</v>
      </c>
      <c r="K942" s="46">
        <v>-0.01</v>
      </c>
      <c r="L942" s="46">
        <v>36.49</v>
      </c>
      <c r="M942" s="46">
        <v>-20.94</v>
      </c>
      <c r="N942" s="36">
        <v>938</v>
      </c>
      <c r="O942" s="41">
        <v>42998.867696759262</v>
      </c>
    </row>
    <row r="943" spans="2:15" x14ac:dyDescent="0.25">
      <c r="B943" s="36" t="s">
        <v>3018</v>
      </c>
      <c r="C943" s="35" t="s">
        <v>909</v>
      </c>
      <c r="D943" s="36" t="s">
        <v>1943</v>
      </c>
      <c r="E943" s="37">
        <v>2.0000000000000001E-4</v>
      </c>
      <c r="F943" s="38">
        <v>0.79370799999999997</v>
      </c>
      <c r="G943" s="39">
        <v>1047.69</v>
      </c>
      <c r="H943" s="39"/>
      <c r="I943" s="40"/>
      <c r="J943" s="40"/>
      <c r="K943" s="46">
        <v>-0.25</v>
      </c>
      <c r="L943" s="46">
        <v>1.37</v>
      </c>
      <c r="M943" s="46">
        <v>1.86</v>
      </c>
      <c r="N943" s="36">
        <v>939</v>
      </c>
      <c r="O943" s="41">
        <v>42998.864525462966</v>
      </c>
    </row>
    <row r="944" spans="2:15" x14ac:dyDescent="0.25">
      <c r="B944" s="36" t="s">
        <v>3290</v>
      </c>
      <c r="C944" s="35" t="s">
        <v>3291</v>
      </c>
      <c r="D944" s="36" t="s">
        <v>3292</v>
      </c>
      <c r="E944" s="37">
        <v>1.189E-4</v>
      </c>
      <c r="F944" s="38">
        <v>0.47220299999999998</v>
      </c>
      <c r="G944" s="39">
        <v>1027.51</v>
      </c>
      <c r="H944" s="39"/>
      <c r="I944" s="40"/>
      <c r="J944" s="40">
        <v>768753</v>
      </c>
      <c r="K944" s="46">
        <v>18.899999999999999</v>
      </c>
      <c r="L944" s="46">
        <v>203.26</v>
      </c>
      <c r="M944" s="46"/>
      <c r="N944" s="36">
        <v>940</v>
      </c>
      <c r="O944" s="41">
        <v>42998.867592592593</v>
      </c>
    </row>
    <row r="945" spans="2:15" x14ac:dyDescent="0.25">
      <c r="B945" s="36" t="s">
        <v>3044</v>
      </c>
      <c r="C945" s="35" t="s">
        <v>903</v>
      </c>
      <c r="D945" s="36" t="s">
        <v>1937</v>
      </c>
      <c r="E945" s="37">
        <v>1.02E-6</v>
      </c>
      <c r="F945" s="38">
        <v>4.0403499999999998E-3</v>
      </c>
      <c r="G945" s="39">
        <v>1015.87</v>
      </c>
      <c r="H945" s="39"/>
      <c r="I945" s="40"/>
      <c r="J945" s="40">
        <v>57968072167</v>
      </c>
      <c r="K945" s="46">
        <v>-0.13</v>
      </c>
      <c r="L945" s="46">
        <v>56.88</v>
      </c>
      <c r="M945" s="46">
        <v>92.51</v>
      </c>
      <c r="N945" s="36">
        <v>941</v>
      </c>
      <c r="O945" s="41">
        <v>42998.867743055554</v>
      </c>
    </row>
    <row r="946" spans="2:15" x14ac:dyDescent="0.25">
      <c r="B946" s="36" t="s">
        <v>3032</v>
      </c>
      <c r="C946" s="35" t="s">
        <v>910</v>
      </c>
      <c r="D946" s="36" t="s">
        <v>1944</v>
      </c>
      <c r="E946" s="37">
        <v>0.19899</v>
      </c>
      <c r="F946" s="38">
        <v>790.27499999999998</v>
      </c>
      <c r="G946" s="39">
        <v>1005.55</v>
      </c>
      <c r="H946" s="39"/>
      <c r="I946" s="40"/>
      <c r="J946" s="40">
        <v>21000000</v>
      </c>
      <c r="K946" s="46">
        <v>-0.05</v>
      </c>
      <c r="L946" s="46"/>
      <c r="M946" s="46">
        <v>-27.57</v>
      </c>
      <c r="N946" s="36">
        <v>942</v>
      </c>
      <c r="O946" s="41">
        <v>42998.867893518516</v>
      </c>
    </row>
    <row r="947" spans="2:15" x14ac:dyDescent="0.25">
      <c r="B947" s="36" t="s">
        <v>3042</v>
      </c>
      <c r="C947" s="35" t="s">
        <v>919</v>
      </c>
      <c r="D947" s="36" t="s">
        <v>1951</v>
      </c>
      <c r="E947" s="37">
        <v>1.2800999999999999E-4</v>
      </c>
      <c r="F947" s="38">
        <v>0.50838300000000003</v>
      </c>
      <c r="G947" s="39">
        <v>921.78899999999999</v>
      </c>
      <c r="H947" s="39"/>
      <c r="I947" s="40"/>
      <c r="J947" s="40">
        <v>100000000</v>
      </c>
      <c r="K947" s="46">
        <v>-31.27</v>
      </c>
      <c r="L947" s="46"/>
      <c r="M947" s="46">
        <v>-29.28</v>
      </c>
      <c r="N947" s="36">
        <v>943</v>
      </c>
      <c r="O947" s="41">
        <v>42998.867928240739</v>
      </c>
    </row>
    <row r="948" spans="2:15" x14ac:dyDescent="0.25">
      <c r="B948" s="36" t="s">
        <v>2961</v>
      </c>
      <c r="C948" s="35" t="s">
        <v>888</v>
      </c>
      <c r="D948" s="36" t="s">
        <v>1925</v>
      </c>
      <c r="E948" s="37">
        <v>9.3200000000000006E-6</v>
      </c>
      <c r="F948" s="38">
        <v>3.6998400000000001E-2</v>
      </c>
      <c r="G948" s="39">
        <v>905.76900000000001</v>
      </c>
      <c r="H948" s="39"/>
      <c r="I948" s="40"/>
      <c r="J948" s="40">
        <v>9057937</v>
      </c>
      <c r="K948" s="46">
        <v>2.71</v>
      </c>
      <c r="L948" s="46">
        <v>2.81</v>
      </c>
      <c r="M948" s="46">
        <v>23.16</v>
      </c>
      <c r="N948" s="36">
        <v>944</v>
      </c>
      <c r="O948" s="41">
        <v>42998.867847222224</v>
      </c>
    </row>
    <row r="949" spans="2:15" x14ac:dyDescent="0.25">
      <c r="B949" s="36" t="s">
        <v>3316</v>
      </c>
      <c r="C949" s="35" t="s">
        <v>3317</v>
      </c>
      <c r="D949" s="36" t="s">
        <v>3318</v>
      </c>
      <c r="E949" s="37">
        <v>4.3579999999999999E-5</v>
      </c>
      <c r="F949" s="38">
        <v>0.17294999999999999</v>
      </c>
      <c r="G949" s="39">
        <v>894.26900000000001</v>
      </c>
      <c r="H949" s="39"/>
      <c r="I949" s="40"/>
      <c r="J949" s="40">
        <v>170622047</v>
      </c>
      <c r="K949" s="46">
        <v>-0.27</v>
      </c>
      <c r="L949" s="46">
        <v>29.29</v>
      </c>
      <c r="M949" s="46"/>
      <c r="N949" s="36">
        <v>945</v>
      </c>
      <c r="O949" s="41">
        <v>42998.864548611113</v>
      </c>
    </row>
    <row r="950" spans="2:15" x14ac:dyDescent="0.25">
      <c r="B950" s="36" t="s">
        <v>2312</v>
      </c>
      <c r="C950" s="35" t="s">
        <v>219</v>
      </c>
      <c r="D950" s="36" t="s">
        <v>1284</v>
      </c>
      <c r="E950" s="37">
        <v>7.1409000000000002E-4</v>
      </c>
      <c r="F950" s="38">
        <v>2.83596</v>
      </c>
      <c r="G950" s="39">
        <v>867.35699999999997</v>
      </c>
      <c r="H950" s="39"/>
      <c r="I950" s="40"/>
      <c r="J950" s="40">
        <v>6666666</v>
      </c>
      <c r="K950" s="46">
        <v>0.08</v>
      </c>
      <c r="L950" s="46">
        <v>20.69</v>
      </c>
      <c r="M950" s="46">
        <v>69.66</v>
      </c>
      <c r="N950" s="36">
        <v>946</v>
      </c>
      <c r="O950" s="41">
        <v>42998.867905092593</v>
      </c>
    </row>
    <row r="951" spans="2:15" x14ac:dyDescent="0.25">
      <c r="B951" s="36" t="s">
        <v>3154</v>
      </c>
      <c r="C951" s="35" t="s">
        <v>1064</v>
      </c>
      <c r="D951" s="36" t="s">
        <v>2087</v>
      </c>
      <c r="E951" s="37">
        <v>5.8999999999999996E-7</v>
      </c>
      <c r="F951" s="38">
        <v>2.3415900000000002E-3</v>
      </c>
      <c r="G951" s="39">
        <v>846.18899999999996</v>
      </c>
      <c r="H951" s="39"/>
      <c r="I951" s="40"/>
      <c r="J951" s="40"/>
      <c r="K951" s="46">
        <v>-0.28000000000000003</v>
      </c>
      <c r="L951" s="46">
        <v>-0.44</v>
      </c>
      <c r="M951" s="46">
        <v>-71.010000000000005</v>
      </c>
      <c r="N951" s="36">
        <v>947</v>
      </c>
      <c r="O951" s="41">
        <v>42998.867418981485</v>
      </c>
    </row>
    <row r="952" spans="2:15" x14ac:dyDescent="0.25">
      <c r="B952" s="36" t="s">
        <v>2951</v>
      </c>
      <c r="C952" s="35" t="s">
        <v>849</v>
      </c>
      <c r="D952" s="36" t="s">
        <v>1888</v>
      </c>
      <c r="E952" s="37">
        <v>1E-8</v>
      </c>
      <c r="F952" s="38">
        <v>3.97143E-5</v>
      </c>
      <c r="G952" s="39">
        <v>826.14099999999996</v>
      </c>
      <c r="H952" s="39"/>
      <c r="I952" s="40"/>
      <c r="J952" s="40">
        <v>2000000000</v>
      </c>
      <c r="K952" s="46">
        <v>-0.05</v>
      </c>
      <c r="L952" s="46">
        <v>-35.090000000000003</v>
      </c>
      <c r="M952" s="46">
        <v>1.99</v>
      </c>
      <c r="N952" s="36">
        <v>948</v>
      </c>
      <c r="O952" s="41">
        <v>42998.867939814816</v>
      </c>
    </row>
    <row r="953" spans="2:15" x14ac:dyDescent="0.25">
      <c r="B953" s="36" t="s">
        <v>3031</v>
      </c>
      <c r="C953" s="35" t="s">
        <v>932</v>
      </c>
      <c r="D953" s="36" t="s">
        <v>1962</v>
      </c>
      <c r="E953" s="37">
        <v>1.9999999999999999E-11</v>
      </c>
      <c r="F953" s="38">
        <v>6.2699999999999999E-8</v>
      </c>
      <c r="G953" s="39">
        <v>818.29399999999998</v>
      </c>
      <c r="H953" s="39"/>
      <c r="I953" s="40"/>
      <c r="J953" s="40">
        <v>12390920701</v>
      </c>
      <c r="K953" s="46">
        <v>-0.49</v>
      </c>
      <c r="L953" s="46">
        <v>-21.83</v>
      </c>
      <c r="M953" s="46">
        <v>9.2100000000000009</v>
      </c>
      <c r="N953" s="36">
        <v>949</v>
      </c>
      <c r="O953" s="41">
        <v>42998.867627314816</v>
      </c>
    </row>
    <row r="954" spans="2:15" x14ac:dyDescent="0.25">
      <c r="B954" s="36" t="s">
        <v>3013</v>
      </c>
      <c r="C954" s="35" t="s">
        <v>896</v>
      </c>
      <c r="D954" s="36" t="s">
        <v>1932</v>
      </c>
      <c r="E954" s="37">
        <v>3.0029999999999999E-5</v>
      </c>
      <c r="F954" s="38">
        <v>0.11926200000000001</v>
      </c>
      <c r="G954" s="39">
        <v>795.08</v>
      </c>
      <c r="H954" s="39"/>
      <c r="I954" s="40"/>
      <c r="J954" s="40">
        <v>57968072167</v>
      </c>
      <c r="K954" s="46">
        <v>-0.05</v>
      </c>
      <c r="L954" s="46"/>
      <c r="M954" s="46">
        <v>-23.53</v>
      </c>
      <c r="N954" s="36">
        <v>950</v>
      </c>
      <c r="O954" s="41">
        <v>42998.867731481485</v>
      </c>
    </row>
    <row r="955" spans="2:15" x14ac:dyDescent="0.25">
      <c r="B955" s="36" t="s">
        <v>3043</v>
      </c>
      <c r="C955" s="35" t="s">
        <v>3274</v>
      </c>
      <c r="D955" s="36" t="s">
        <v>1985</v>
      </c>
      <c r="E955" s="37">
        <v>4.6700000000000002E-6</v>
      </c>
      <c r="F955" s="38">
        <v>1.8527600000000002E-2</v>
      </c>
      <c r="G955" s="39">
        <v>760.25300000000004</v>
      </c>
      <c r="H955" s="39"/>
      <c r="I955" s="40"/>
      <c r="J955" s="40"/>
      <c r="K955" s="46">
        <v>-3.42</v>
      </c>
      <c r="L955" s="46">
        <v>37.299999999999997</v>
      </c>
      <c r="M955" s="46">
        <v>-41.23</v>
      </c>
      <c r="N955" s="36">
        <v>951</v>
      </c>
      <c r="O955" s="41">
        <v>42998.867962962962</v>
      </c>
    </row>
    <row r="956" spans="2:15" x14ac:dyDescent="0.25">
      <c r="B956" s="36" t="s">
        <v>3275</v>
      </c>
      <c r="C956" s="35" t="s">
        <v>3276</v>
      </c>
      <c r="D956" s="36" t="s">
        <v>3277</v>
      </c>
      <c r="E956" s="37">
        <v>1.1000000000000001E-7</v>
      </c>
      <c r="F956" s="38">
        <v>4.36539E-4</v>
      </c>
      <c r="G956" s="39">
        <v>753.59</v>
      </c>
      <c r="H956" s="39"/>
      <c r="I956" s="40"/>
      <c r="J956" s="40"/>
      <c r="K956" s="46">
        <v>-0.3</v>
      </c>
      <c r="L956" s="46">
        <v>12.41</v>
      </c>
      <c r="M956" s="46">
        <v>45.68</v>
      </c>
      <c r="N956" s="36">
        <v>952</v>
      </c>
      <c r="O956" s="41">
        <v>42998.864537037036</v>
      </c>
    </row>
    <row r="957" spans="2:15" x14ac:dyDescent="0.25">
      <c r="B957" s="36" t="s">
        <v>3037</v>
      </c>
      <c r="C957" s="35" t="s">
        <v>965</v>
      </c>
      <c r="D957" s="36" t="s">
        <v>1994</v>
      </c>
      <c r="E957" s="37">
        <v>3.0219999999999999E-5</v>
      </c>
      <c r="F957" s="38">
        <v>0.12</v>
      </c>
      <c r="G957" s="39">
        <v>746.4</v>
      </c>
      <c r="H957" s="39"/>
      <c r="I957" s="40"/>
      <c r="J957" s="40">
        <v>8901692</v>
      </c>
      <c r="K957" s="46"/>
      <c r="L957" s="46">
        <v>8.11</v>
      </c>
      <c r="M957" s="46">
        <v>-6.98</v>
      </c>
      <c r="N957" s="36">
        <v>953</v>
      </c>
      <c r="O957" s="41">
        <v>42998.867743055554</v>
      </c>
    </row>
    <row r="958" spans="2:15" x14ac:dyDescent="0.25">
      <c r="B958" s="36" t="s">
        <v>2983</v>
      </c>
      <c r="C958" s="35" t="s">
        <v>892</v>
      </c>
      <c r="D958" s="36" t="s">
        <v>892</v>
      </c>
      <c r="E958" s="37">
        <v>4.0000000000000001E-8</v>
      </c>
      <c r="F958" s="38">
        <v>1.5874199999999999E-4</v>
      </c>
      <c r="G958" s="39">
        <v>739.94600000000003</v>
      </c>
      <c r="H958" s="39"/>
      <c r="I958" s="40"/>
      <c r="J958" s="40">
        <v>1000000000</v>
      </c>
      <c r="K958" s="46">
        <v>-0.25</v>
      </c>
      <c r="L958" s="46">
        <v>99</v>
      </c>
      <c r="M958" s="46">
        <v>-12.56</v>
      </c>
      <c r="N958" s="36">
        <v>954</v>
      </c>
      <c r="O958" s="41">
        <v>42998.864537037036</v>
      </c>
    </row>
    <row r="959" spans="2:15" x14ac:dyDescent="0.25">
      <c r="B959" s="36" t="s">
        <v>2971</v>
      </c>
      <c r="C959" s="35" t="s">
        <v>864</v>
      </c>
      <c r="D959" s="36" t="s">
        <v>1903</v>
      </c>
      <c r="E959" s="37">
        <v>1.9000000000000001E-7</v>
      </c>
      <c r="F959" s="38">
        <v>7.6051999999999999E-4</v>
      </c>
      <c r="G959" s="39">
        <v>703.92100000000005</v>
      </c>
      <c r="H959" s="39"/>
      <c r="I959" s="40"/>
      <c r="J959" s="40">
        <v>54000056</v>
      </c>
      <c r="K959" s="46">
        <v>0</v>
      </c>
      <c r="L959" s="46">
        <v>-37.42</v>
      </c>
      <c r="M959" s="46">
        <v>-78.02</v>
      </c>
      <c r="N959" s="36">
        <v>955</v>
      </c>
      <c r="O959" s="41">
        <v>42998.867777777778</v>
      </c>
    </row>
    <row r="960" spans="2:15" x14ac:dyDescent="0.25">
      <c r="B960" s="36" t="s">
        <v>3022</v>
      </c>
      <c r="C960" s="35" t="s">
        <v>927</v>
      </c>
      <c r="D960" s="36" t="s">
        <v>927</v>
      </c>
      <c r="E960" s="37">
        <v>3.4990000000000002E-5</v>
      </c>
      <c r="F960" s="38">
        <v>0.13896</v>
      </c>
      <c r="G960" s="39">
        <v>694.80200000000002</v>
      </c>
      <c r="H960" s="39"/>
      <c r="I960" s="40"/>
      <c r="J960" s="40">
        <v>100000000</v>
      </c>
      <c r="K960" s="46">
        <v>-0.43</v>
      </c>
      <c r="L960" s="46">
        <v>0</v>
      </c>
      <c r="M960" s="46">
        <v>-8.7899999999999991</v>
      </c>
      <c r="N960" s="36">
        <v>956</v>
      </c>
      <c r="O960" s="41">
        <v>42998.867928240739</v>
      </c>
    </row>
    <row r="961" spans="2:15" x14ac:dyDescent="0.25">
      <c r="B961" s="36" t="s">
        <v>3105</v>
      </c>
      <c r="C961" s="35" t="s">
        <v>906</v>
      </c>
      <c r="D961" s="36" t="s">
        <v>1940</v>
      </c>
      <c r="E961" s="37">
        <v>1.4999999999999999E-7</v>
      </c>
      <c r="F961" s="38">
        <v>5.9571400000000001E-4</v>
      </c>
      <c r="G961" s="39">
        <v>542.16300000000001</v>
      </c>
      <c r="H961" s="39"/>
      <c r="I961" s="40"/>
      <c r="J961" s="40">
        <v>750059425</v>
      </c>
      <c r="K961" s="46">
        <v>-25.05</v>
      </c>
      <c r="L961" s="46">
        <v>17.12</v>
      </c>
      <c r="M961" s="46">
        <v>16.97</v>
      </c>
      <c r="N961" s="36">
        <v>957</v>
      </c>
      <c r="O961" s="41">
        <v>42998.868009259262</v>
      </c>
    </row>
    <row r="962" spans="2:15" x14ac:dyDescent="0.25">
      <c r="B962" s="36" t="s">
        <v>3025</v>
      </c>
      <c r="C962" s="35" t="s">
        <v>897</v>
      </c>
      <c r="D962" s="36" t="s">
        <v>1933</v>
      </c>
      <c r="E962" s="37">
        <v>2.9999999999999999E-7</v>
      </c>
      <c r="F962" s="38">
        <v>1.1799899999999999E-3</v>
      </c>
      <c r="G962" s="39">
        <v>511.40300000000002</v>
      </c>
      <c r="H962" s="39"/>
      <c r="I962" s="40"/>
      <c r="J962" s="40"/>
      <c r="K962" s="46">
        <v>-0.05</v>
      </c>
      <c r="L962" s="46">
        <v>1.29</v>
      </c>
      <c r="M962" s="46">
        <v>5.55</v>
      </c>
      <c r="N962" s="36">
        <v>958</v>
      </c>
      <c r="O962" s="41">
        <v>42998.86787037037</v>
      </c>
    </row>
    <row r="963" spans="2:15" x14ac:dyDescent="0.25">
      <c r="B963" s="36" t="s">
        <v>3138</v>
      </c>
      <c r="C963" s="35" t="s">
        <v>998</v>
      </c>
      <c r="D963" s="36" t="s">
        <v>2025</v>
      </c>
      <c r="E963" s="37">
        <v>1E-8</v>
      </c>
      <c r="F963" s="38">
        <v>3.97143E-5</v>
      </c>
      <c r="G963" s="39">
        <v>471.86700000000002</v>
      </c>
      <c r="H963" s="39"/>
      <c r="I963" s="40"/>
      <c r="J963" s="40">
        <v>10263290326</v>
      </c>
      <c r="K963" s="46">
        <v>-0.05</v>
      </c>
      <c r="L963" s="46">
        <v>1044.46</v>
      </c>
      <c r="M963" s="46">
        <v>1.92</v>
      </c>
      <c r="N963" s="36">
        <v>959</v>
      </c>
      <c r="O963" s="41">
        <v>42998.867766203701</v>
      </c>
    </row>
    <row r="964" spans="2:15" x14ac:dyDescent="0.25">
      <c r="B964" s="36" t="s">
        <v>3012</v>
      </c>
      <c r="C964" s="35" t="s">
        <v>901</v>
      </c>
      <c r="D964" s="36" t="s">
        <v>1935</v>
      </c>
      <c r="E964" s="37">
        <v>2E-8</v>
      </c>
      <c r="F964" s="38">
        <v>7.9444700000000002E-5</v>
      </c>
      <c r="G964" s="39">
        <v>455.685</v>
      </c>
      <c r="H964" s="39"/>
      <c r="I964" s="40"/>
      <c r="J964" s="40"/>
      <c r="K964" s="46">
        <v>-0.05</v>
      </c>
      <c r="L964" s="46">
        <v>-32.47</v>
      </c>
      <c r="M964" s="46">
        <v>1.56</v>
      </c>
      <c r="N964" s="36">
        <v>960</v>
      </c>
      <c r="O964" s="41">
        <v>42998.867824074077</v>
      </c>
    </row>
    <row r="965" spans="2:15" x14ac:dyDescent="0.25">
      <c r="B965" s="36" t="s">
        <v>3092</v>
      </c>
      <c r="C965" s="35" t="s">
        <v>984</v>
      </c>
      <c r="D965" s="36" t="s">
        <v>2011</v>
      </c>
      <c r="E965" s="37">
        <v>5.2100000000000001E-6</v>
      </c>
      <c r="F965" s="38">
        <v>2.06911E-2</v>
      </c>
      <c r="G965" s="39">
        <v>397.11700000000002</v>
      </c>
      <c r="H965" s="39"/>
      <c r="I965" s="40"/>
      <c r="J965" s="40"/>
      <c r="K965" s="46">
        <v>-0.05</v>
      </c>
      <c r="L965" s="46">
        <v>-0.66</v>
      </c>
      <c r="M965" s="46">
        <v>-0.76</v>
      </c>
      <c r="N965" s="36">
        <v>961</v>
      </c>
      <c r="O965" s="41">
        <v>42998.867789351854</v>
      </c>
    </row>
    <row r="966" spans="2:15" x14ac:dyDescent="0.25">
      <c r="B966" s="36" t="s">
        <v>3011</v>
      </c>
      <c r="C966" s="35" t="s">
        <v>923</v>
      </c>
      <c r="D966" s="36" t="s">
        <v>1954</v>
      </c>
      <c r="E966" s="37">
        <v>2.03E-6</v>
      </c>
      <c r="F966" s="38">
        <v>8.0619999999999997E-3</v>
      </c>
      <c r="G966" s="39">
        <v>357.61099999999999</v>
      </c>
      <c r="H966" s="39"/>
      <c r="I966" s="40"/>
      <c r="J966" s="40"/>
      <c r="K966" s="46">
        <v>-0.05</v>
      </c>
      <c r="L966" s="46">
        <v>-48.92</v>
      </c>
      <c r="M966" s="46">
        <v>-37.44</v>
      </c>
      <c r="N966" s="36">
        <v>962</v>
      </c>
      <c r="O966" s="41">
        <v>42998.867754629631</v>
      </c>
    </row>
    <row r="967" spans="2:15" x14ac:dyDescent="0.25">
      <c r="B967" s="36" t="s">
        <v>2985</v>
      </c>
      <c r="C967" s="35" t="s">
        <v>940</v>
      </c>
      <c r="D967" s="36" t="s">
        <v>1970</v>
      </c>
      <c r="E967" s="37">
        <v>6.9999999999999997E-7</v>
      </c>
      <c r="F967" s="38">
        <v>2.7799999999999999E-3</v>
      </c>
      <c r="G967" s="39">
        <v>351.78</v>
      </c>
      <c r="H967" s="39"/>
      <c r="I967" s="40"/>
      <c r="J967" s="40"/>
      <c r="K967" s="46">
        <v>-2.33</v>
      </c>
      <c r="L967" s="46">
        <v>-8.17</v>
      </c>
      <c r="M967" s="46">
        <v>-24.81</v>
      </c>
      <c r="N967" s="36">
        <v>963</v>
      </c>
      <c r="O967" s="41">
        <v>42998.867685185185</v>
      </c>
    </row>
    <row r="968" spans="2:15" x14ac:dyDescent="0.25">
      <c r="B968" s="36" t="s">
        <v>2993</v>
      </c>
      <c r="C968" s="35" t="s">
        <v>875</v>
      </c>
      <c r="D968" s="36" t="s">
        <v>1913</v>
      </c>
      <c r="E968" s="37">
        <v>1.2699999999999999E-6</v>
      </c>
      <c r="F968" s="38">
        <v>5.0437199999999998E-3</v>
      </c>
      <c r="G968" s="39">
        <v>331.685</v>
      </c>
      <c r="H968" s="39"/>
      <c r="I968" s="40"/>
      <c r="J968" s="40"/>
      <c r="K968" s="46">
        <v>-0.05</v>
      </c>
      <c r="L968" s="46">
        <v>134.38999999999999</v>
      </c>
      <c r="M968" s="46">
        <v>35.17</v>
      </c>
      <c r="N968" s="36">
        <v>964</v>
      </c>
      <c r="O968" s="41">
        <v>42998.867997685185</v>
      </c>
    </row>
    <row r="969" spans="2:15" x14ac:dyDescent="0.25">
      <c r="B969" s="36" t="s">
        <v>3225</v>
      </c>
      <c r="C969" s="35" t="s">
        <v>3226</v>
      </c>
      <c r="D969" s="36" t="s">
        <v>3227</v>
      </c>
      <c r="E969" s="37">
        <v>2.5040000000000001E-4</v>
      </c>
      <c r="F969" s="38">
        <v>0.99372899999999997</v>
      </c>
      <c r="G969" s="39">
        <v>304.63</v>
      </c>
      <c r="H969" s="39"/>
      <c r="I969" s="40"/>
      <c r="J969" s="40">
        <v>5013943</v>
      </c>
      <c r="K969" s="46">
        <v>-0.25</v>
      </c>
      <c r="L969" s="46">
        <v>-32.71</v>
      </c>
      <c r="M969" s="46">
        <v>-38.799999999999997</v>
      </c>
      <c r="N969" s="36">
        <v>965</v>
      </c>
      <c r="O969" s="41">
        <v>42998.864548611113</v>
      </c>
    </row>
    <row r="970" spans="2:15" x14ac:dyDescent="0.25">
      <c r="B970" s="36" t="s">
        <v>2972</v>
      </c>
      <c r="C970" s="35" t="s">
        <v>866</v>
      </c>
      <c r="D970" s="36" t="s">
        <v>1905</v>
      </c>
      <c r="E970" s="37">
        <v>1.9000000000000001E-7</v>
      </c>
      <c r="F970" s="38">
        <v>7.6051999999999999E-4</v>
      </c>
      <c r="G970" s="39">
        <v>254.102</v>
      </c>
      <c r="H970" s="39"/>
      <c r="I970" s="40"/>
      <c r="J970" s="40">
        <v>100000000</v>
      </c>
      <c r="K970" s="46">
        <v>0</v>
      </c>
      <c r="L970" s="46">
        <v>-35.82</v>
      </c>
      <c r="M970" s="46">
        <v>-58.81</v>
      </c>
      <c r="N970" s="36">
        <v>966</v>
      </c>
      <c r="O970" s="41">
        <v>42998.868009259262</v>
      </c>
    </row>
    <row r="971" spans="2:15" x14ac:dyDescent="0.25">
      <c r="B971" s="36" t="s">
        <v>2980</v>
      </c>
      <c r="C971" s="35" t="s">
        <v>881</v>
      </c>
      <c r="D971" s="36" t="s">
        <v>1919</v>
      </c>
      <c r="E971" s="37">
        <v>8.5178000000000001E-4</v>
      </c>
      <c r="F971" s="38">
        <v>3.3803100000000001</v>
      </c>
      <c r="G971" s="39">
        <v>250.131</v>
      </c>
      <c r="H971" s="39"/>
      <c r="I971" s="40"/>
      <c r="J971" s="40">
        <v>237614</v>
      </c>
      <c r="K971" s="46">
        <v>-0.3</v>
      </c>
      <c r="L971" s="46">
        <v>3.84</v>
      </c>
      <c r="M971" s="46">
        <v>-10.98</v>
      </c>
      <c r="N971" s="36">
        <v>967</v>
      </c>
      <c r="O971" s="41">
        <v>42998.864548611113</v>
      </c>
    </row>
    <row r="972" spans="2:15" x14ac:dyDescent="0.25">
      <c r="B972" s="36" t="s">
        <v>2986</v>
      </c>
      <c r="C972" s="35" t="s">
        <v>879</v>
      </c>
      <c r="D972" s="36" t="s">
        <v>1917</v>
      </c>
      <c r="E972" s="37">
        <v>1.7E-6</v>
      </c>
      <c r="F972" s="38">
        <v>6.7465199999999998E-3</v>
      </c>
      <c r="G972" s="39">
        <v>244.416</v>
      </c>
      <c r="H972" s="39"/>
      <c r="I972" s="40"/>
      <c r="J972" s="40">
        <v>10000000</v>
      </c>
      <c r="K972" s="46">
        <v>12.3</v>
      </c>
      <c r="L972" s="46">
        <v>-0.77</v>
      </c>
      <c r="M972" s="46">
        <v>23.54</v>
      </c>
      <c r="N972" s="36">
        <v>968</v>
      </c>
      <c r="O972" s="41">
        <v>42998.864525462966</v>
      </c>
    </row>
    <row r="973" spans="2:15" x14ac:dyDescent="0.25">
      <c r="B973" s="36" t="s">
        <v>3000</v>
      </c>
      <c r="C973" s="35" t="s">
        <v>898</v>
      </c>
      <c r="D973" s="36" t="s">
        <v>1934</v>
      </c>
      <c r="E973" s="37">
        <v>1.5889999999999999E-5</v>
      </c>
      <c r="F973" s="38">
        <v>6.3060099999999994E-2</v>
      </c>
      <c r="G973" s="39">
        <v>242.233</v>
      </c>
      <c r="H973" s="39"/>
      <c r="I973" s="40"/>
      <c r="J973" s="40">
        <v>70133539</v>
      </c>
      <c r="K973" s="46">
        <v>-0.34</v>
      </c>
      <c r="L973" s="46">
        <v>19.22</v>
      </c>
      <c r="M973" s="46">
        <v>-24.28</v>
      </c>
      <c r="N973" s="36">
        <v>969</v>
      </c>
      <c r="O973" s="41">
        <v>42998.86451388889</v>
      </c>
    </row>
    <row r="974" spans="2:15" x14ac:dyDescent="0.25">
      <c r="B974" s="36" t="s">
        <v>3048</v>
      </c>
      <c r="C974" s="35" t="s">
        <v>946</v>
      </c>
      <c r="D974" s="36" t="s">
        <v>1976</v>
      </c>
      <c r="E974" s="37">
        <v>9.3136E-4</v>
      </c>
      <c r="F974" s="38">
        <v>3.6988300000000001</v>
      </c>
      <c r="G974" s="39">
        <v>235.631</v>
      </c>
      <c r="H974" s="39"/>
      <c r="I974" s="40"/>
      <c r="J974" s="40"/>
      <c r="K974" s="46">
        <v>-0.05</v>
      </c>
      <c r="L974" s="46">
        <v>0.71</v>
      </c>
      <c r="M974" s="46">
        <v>-9.83</v>
      </c>
      <c r="N974" s="36">
        <v>970</v>
      </c>
      <c r="O974" s="41">
        <v>42998.867569444446</v>
      </c>
    </row>
    <row r="975" spans="2:15" x14ac:dyDescent="0.25">
      <c r="B975" s="36" t="s">
        <v>3082</v>
      </c>
      <c r="C975" s="35" t="s">
        <v>917</v>
      </c>
      <c r="D975" s="36" t="s">
        <v>917</v>
      </c>
      <c r="E975" s="37">
        <v>2.3999999999999998E-7</v>
      </c>
      <c r="F975" s="38">
        <v>9.48843E-4</v>
      </c>
      <c r="G975" s="39">
        <v>205.625</v>
      </c>
      <c r="H975" s="39"/>
      <c r="I975" s="40"/>
      <c r="J975" s="40"/>
      <c r="K975" s="46">
        <v>4.2699999999999996</v>
      </c>
      <c r="L975" s="46">
        <v>-10.72</v>
      </c>
      <c r="M975" s="46">
        <v>-8.81</v>
      </c>
      <c r="N975" s="36">
        <v>971</v>
      </c>
      <c r="O975" s="41">
        <v>42998.86787037037</v>
      </c>
    </row>
    <row r="976" spans="2:15" x14ac:dyDescent="0.25">
      <c r="B976" s="36" t="s">
        <v>3049</v>
      </c>
      <c r="C976" s="35" t="s">
        <v>952</v>
      </c>
      <c r="D976" s="36" t="s">
        <v>1981</v>
      </c>
      <c r="E976" s="37">
        <v>5.7999999999999995E-7</v>
      </c>
      <c r="F976" s="38">
        <v>2.3089199999999999E-3</v>
      </c>
      <c r="G976" s="39">
        <v>192.124</v>
      </c>
      <c r="H976" s="39"/>
      <c r="I976" s="40"/>
      <c r="J976" s="40"/>
      <c r="K976" s="46">
        <v>-0.05</v>
      </c>
      <c r="L976" s="46">
        <v>-19.489999999999998</v>
      </c>
      <c r="M976" s="46">
        <v>-29.46</v>
      </c>
      <c r="N976" s="36">
        <v>972</v>
      </c>
      <c r="O976" s="41">
        <v>42998.867928240739</v>
      </c>
    </row>
    <row r="977" spans="2:15" x14ac:dyDescent="0.25">
      <c r="B977" s="36" t="s">
        <v>3163</v>
      </c>
      <c r="C977" s="35" t="s">
        <v>1036</v>
      </c>
      <c r="D977" s="36" t="s">
        <v>2062</v>
      </c>
      <c r="E977" s="37">
        <v>1.3910000000000001E-5</v>
      </c>
      <c r="F977" s="38">
        <v>5.5226400000000002E-2</v>
      </c>
      <c r="G977" s="39">
        <v>165.73599999999999</v>
      </c>
      <c r="H977" s="39"/>
      <c r="I977" s="40"/>
      <c r="J977" s="40"/>
      <c r="K977" s="46">
        <v>-0.57999999999999996</v>
      </c>
      <c r="L977" s="46">
        <v>-1.1599999999999999</v>
      </c>
      <c r="M977" s="46">
        <v>109.1</v>
      </c>
      <c r="N977" s="36">
        <v>973</v>
      </c>
      <c r="O977" s="41">
        <v>42998.867673611108</v>
      </c>
    </row>
    <row r="978" spans="2:15" x14ac:dyDescent="0.25">
      <c r="B978" s="36" t="s">
        <v>3057</v>
      </c>
      <c r="C978" s="35" t="s">
        <v>930</v>
      </c>
      <c r="D978" s="36" t="s">
        <v>1960</v>
      </c>
      <c r="E978" s="37">
        <v>4.4000000000000002E-7</v>
      </c>
      <c r="F978" s="38">
        <v>1.7349500000000001E-3</v>
      </c>
      <c r="G978" s="39">
        <v>162.684</v>
      </c>
      <c r="H978" s="39"/>
      <c r="I978" s="40"/>
      <c r="J978" s="40">
        <v>28989990</v>
      </c>
      <c r="K978" s="46">
        <v>2.02</v>
      </c>
      <c r="L978" s="46">
        <v>36.15</v>
      </c>
      <c r="M978" s="46">
        <v>-58.31</v>
      </c>
      <c r="N978" s="36">
        <v>974</v>
      </c>
      <c r="O978" s="41">
        <v>42998.867893518516</v>
      </c>
    </row>
    <row r="979" spans="2:15" x14ac:dyDescent="0.25">
      <c r="B979" s="36" t="s">
        <v>3024</v>
      </c>
      <c r="C979" s="35" t="s">
        <v>899</v>
      </c>
      <c r="D979" s="36" t="s">
        <v>899</v>
      </c>
      <c r="E979" s="37">
        <v>2.6E-7</v>
      </c>
      <c r="F979" s="38">
        <v>1.03257E-3</v>
      </c>
      <c r="G979" s="39">
        <v>131.511</v>
      </c>
      <c r="H979" s="39"/>
      <c r="I979" s="40"/>
      <c r="J979" s="40">
        <v>350053400</v>
      </c>
      <c r="K979" s="46">
        <v>1.26</v>
      </c>
      <c r="L979" s="46">
        <v>14.75</v>
      </c>
      <c r="M979" s="46">
        <v>49.23</v>
      </c>
      <c r="N979" s="36">
        <v>975</v>
      </c>
      <c r="O979" s="41">
        <v>42998.86791666667</v>
      </c>
    </row>
    <row r="980" spans="2:15" x14ac:dyDescent="0.25">
      <c r="B980" s="36" t="s">
        <v>3027</v>
      </c>
      <c r="C980" s="35" t="s">
        <v>926</v>
      </c>
      <c r="D980" s="36" t="s">
        <v>1957</v>
      </c>
      <c r="E980" s="37">
        <v>8.8400000000000001E-6</v>
      </c>
      <c r="F980" s="38">
        <v>3.5107399999999997E-2</v>
      </c>
      <c r="G980" s="39">
        <v>123.029</v>
      </c>
      <c r="H980" s="39"/>
      <c r="I980" s="40"/>
      <c r="J980" s="40">
        <v>5631552408</v>
      </c>
      <c r="K980" s="46">
        <v>-1.82</v>
      </c>
      <c r="L980" s="46">
        <v>-31.27</v>
      </c>
      <c r="M980" s="46">
        <v>-15.54</v>
      </c>
      <c r="N980" s="36">
        <v>976</v>
      </c>
      <c r="O980" s="41">
        <v>42998.867754629631</v>
      </c>
    </row>
    <row r="981" spans="2:15" x14ac:dyDescent="0.25">
      <c r="B981" s="36" t="s">
        <v>3086</v>
      </c>
      <c r="C981" s="35" t="s">
        <v>975</v>
      </c>
      <c r="D981" s="36" t="s">
        <v>2003</v>
      </c>
      <c r="E981" s="37">
        <v>1.5200000000000001E-6</v>
      </c>
      <c r="F981" s="42">
        <v>6.0365699999999998E-3</v>
      </c>
      <c r="G981" s="39">
        <v>115.28100000000001</v>
      </c>
      <c r="H981" s="39"/>
      <c r="I981" s="40"/>
      <c r="J981" s="40"/>
      <c r="K981" s="46">
        <v>-0.05</v>
      </c>
      <c r="L981" s="46">
        <v>0.84</v>
      </c>
      <c r="M981" s="46">
        <v>28.91</v>
      </c>
      <c r="N981" s="36">
        <v>977</v>
      </c>
      <c r="O981" s="41">
        <v>42998.867696759262</v>
      </c>
    </row>
    <row r="982" spans="2:15" x14ac:dyDescent="0.25">
      <c r="B982" s="36" t="s">
        <v>3074</v>
      </c>
      <c r="C982" s="35" t="s">
        <v>964</v>
      </c>
      <c r="D982" s="36" t="s">
        <v>1993</v>
      </c>
      <c r="E982" s="37">
        <v>1E-8</v>
      </c>
      <c r="F982" s="38">
        <v>3.97143E-5</v>
      </c>
      <c r="G982" s="39">
        <v>110.49299999999999</v>
      </c>
      <c r="H982" s="39"/>
      <c r="I982" s="40"/>
      <c r="J982" s="40"/>
      <c r="K982" s="46">
        <v>-0.05</v>
      </c>
      <c r="L982" s="46">
        <v>1.51</v>
      </c>
      <c r="M982" s="46">
        <v>-55.71</v>
      </c>
      <c r="N982" s="36">
        <v>978</v>
      </c>
      <c r="O982" s="41">
        <v>42998.867858796293</v>
      </c>
    </row>
    <row r="983" spans="2:15" x14ac:dyDescent="0.25">
      <c r="B983" s="36" t="s">
        <v>3134</v>
      </c>
      <c r="C983" s="35" t="s">
        <v>981</v>
      </c>
      <c r="D983" s="36" t="s">
        <v>1883</v>
      </c>
      <c r="E983" s="37">
        <v>9.9999999999999995E-7</v>
      </c>
      <c r="F983" s="42">
        <v>3.9714299999999998E-3</v>
      </c>
      <c r="G983" s="39">
        <v>108.884</v>
      </c>
      <c r="H983" s="39"/>
      <c r="I983" s="40"/>
      <c r="J983" s="40"/>
      <c r="K983" s="46">
        <v>-0.05</v>
      </c>
      <c r="L983" s="46">
        <v>58.6</v>
      </c>
      <c r="M983" s="46">
        <v>49.88</v>
      </c>
      <c r="N983" s="36">
        <v>979</v>
      </c>
      <c r="O983" s="41">
        <v>42998.867766203701</v>
      </c>
    </row>
    <row r="984" spans="2:15" x14ac:dyDescent="0.25">
      <c r="B984" s="36" t="s">
        <v>3030</v>
      </c>
      <c r="C984" s="35" t="s">
        <v>963</v>
      </c>
      <c r="D984" s="36" t="s">
        <v>1992</v>
      </c>
      <c r="E984" s="37">
        <v>2.7039999999999999E-5</v>
      </c>
      <c r="F984" s="38">
        <v>0.107387</v>
      </c>
      <c r="G984" s="39">
        <v>108.828</v>
      </c>
      <c r="H984" s="39"/>
      <c r="I984" s="40"/>
      <c r="J984" s="40"/>
      <c r="K984" s="46">
        <v>-0.05</v>
      </c>
      <c r="L984" s="46">
        <v>-0.33</v>
      </c>
      <c r="M984" s="46">
        <v>-1.21</v>
      </c>
      <c r="N984" s="36">
        <v>980</v>
      </c>
      <c r="O984" s="41">
        <v>42998.867638888885</v>
      </c>
    </row>
    <row r="985" spans="2:15" x14ac:dyDescent="0.25">
      <c r="B985" s="36" t="s">
        <v>3062</v>
      </c>
      <c r="C985" s="35" t="s">
        <v>944</v>
      </c>
      <c r="D985" s="36" t="s">
        <v>1974</v>
      </c>
      <c r="E985" s="37">
        <v>2.8499999999999998E-6</v>
      </c>
      <c r="F985" s="38">
        <v>1.13186E-2</v>
      </c>
      <c r="G985" s="39">
        <v>105.926</v>
      </c>
      <c r="H985" s="39"/>
      <c r="I985" s="40"/>
      <c r="J985" s="40">
        <v>20707629255</v>
      </c>
      <c r="K985" s="46">
        <v>0.31</v>
      </c>
      <c r="L985" s="46">
        <v>7.14</v>
      </c>
      <c r="M985" s="46">
        <v>20.6</v>
      </c>
      <c r="N985" s="36">
        <v>981</v>
      </c>
      <c r="O985" s="41">
        <v>42998.867719907408</v>
      </c>
    </row>
    <row r="986" spans="2:15" x14ac:dyDescent="0.25">
      <c r="B986" s="36" t="s">
        <v>3143</v>
      </c>
      <c r="C986" s="35" t="s">
        <v>1067</v>
      </c>
      <c r="D986" s="36" t="s">
        <v>2090</v>
      </c>
      <c r="E986" s="37">
        <v>2E-8</v>
      </c>
      <c r="F986" s="38">
        <v>7.94286E-5</v>
      </c>
      <c r="G986" s="39">
        <v>99.850999999999999</v>
      </c>
      <c r="H986" s="39"/>
      <c r="I986" s="40"/>
      <c r="J986" s="40"/>
      <c r="K986" s="46">
        <v>-0.1</v>
      </c>
      <c r="L986" s="46">
        <v>29.24</v>
      </c>
      <c r="M986" s="46">
        <v>1.64</v>
      </c>
      <c r="N986" s="36">
        <v>982</v>
      </c>
      <c r="O986" s="41">
        <v>42998.867685185185</v>
      </c>
    </row>
    <row r="987" spans="2:15" x14ac:dyDescent="0.25">
      <c r="B987" s="36" t="s">
        <v>3015</v>
      </c>
      <c r="C987" s="35" t="s">
        <v>957</v>
      </c>
      <c r="D987" s="36" t="s">
        <v>1986</v>
      </c>
      <c r="E987" s="37">
        <v>4.9999999999999998E-8</v>
      </c>
      <c r="F987" s="38">
        <v>1.94642E-4</v>
      </c>
      <c r="G987" s="39">
        <v>99.635999999999996</v>
      </c>
      <c r="H987" s="39"/>
      <c r="I987" s="40"/>
      <c r="J987" s="40">
        <v>264631494</v>
      </c>
      <c r="K987" s="46">
        <v>-0.01</v>
      </c>
      <c r="L987" s="46">
        <v>0.65</v>
      </c>
      <c r="M987" s="46">
        <v>2.91</v>
      </c>
      <c r="N987" s="36">
        <v>983</v>
      </c>
      <c r="O987" s="41">
        <v>42998.86791666667</v>
      </c>
    </row>
    <row r="988" spans="2:15" x14ac:dyDescent="0.25">
      <c r="B988" s="36" t="s">
        <v>3189</v>
      </c>
      <c r="C988" s="35" t="s">
        <v>3190</v>
      </c>
      <c r="D988" s="36" t="s">
        <v>3191</v>
      </c>
      <c r="E988" s="37">
        <v>3.6226999999999999E-4</v>
      </c>
      <c r="F988" s="38">
        <v>1.4376800000000001</v>
      </c>
      <c r="G988" s="39">
        <v>98.600899999999996</v>
      </c>
      <c r="H988" s="39"/>
      <c r="I988" s="40"/>
      <c r="J988" s="40">
        <v>412412</v>
      </c>
      <c r="K988" s="46">
        <v>-0.3</v>
      </c>
      <c r="L988" s="46">
        <v>-3.22</v>
      </c>
      <c r="M988" s="46">
        <v>-5.32</v>
      </c>
      <c r="N988" s="36">
        <v>984</v>
      </c>
      <c r="O988" s="41">
        <v>42998.864548611113</v>
      </c>
    </row>
    <row r="989" spans="2:15" x14ac:dyDescent="0.25">
      <c r="B989" s="36" t="s">
        <v>3096</v>
      </c>
      <c r="C989" s="35" t="s">
        <v>987</v>
      </c>
      <c r="D989" s="36" t="s">
        <v>2014</v>
      </c>
      <c r="E989" s="37">
        <v>2.2000000000000001E-7</v>
      </c>
      <c r="F989" s="38">
        <v>8.8787200000000005E-4</v>
      </c>
      <c r="G989" s="39">
        <v>95.616500000000002</v>
      </c>
      <c r="H989" s="39"/>
      <c r="I989" s="40"/>
      <c r="J989" s="40">
        <v>20121985</v>
      </c>
      <c r="K989" s="46">
        <v>0.72</v>
      </c>
      <c r="L989" s="46">
        <v>10.45</v>
      </c>
      <c r="M989" s="46">
        <v>0.83</v>
      </c>
      <c r="N989" s="36">
        <v>985</v>
      </c>
      <c r="O989" s="41">
        <v>42998.86787037037</v>
      </c>
    </row>
    <row r="990" spans="2:15" x14ac:dyDescent="0.25">
      <c r="B990" s="36" t="s">
        <v>2997</v>
      </c>
      <c r="C990" s="35" t="s">
        <v>921</v>
      </c>
      <c r="D990" s="36" t="s">
        <v>1097</v>
      </c>
      <c r="E990" s="37">
        <v>5.0000000000000003E-10</v>
      </c>
      <c r="F990" s="38">
        <v>1.9663999999999999E-6</v>
      </c>
      <c r="G990" s="39">
        <v>92.317099999999996</v>
      </c>
      <c r="H990" s="39"/>
      <c r="I990" s="40"/>
      <c r="J990" s="40"/>
      <c r="K990" s="46">
        <v>2.86</v>
      </c>
      <c r="L990" s="46">
        <v>-6.09</v>
      </c>
      <c r="M990" s="46">
        <v>-59.85</v>
      </c>
      <c r="N990" s="36">
        <v>986</v>
      </c>
      <c r="O990" s="41">
        <v>42998.867465277777</v>
      </c>
    </row>
    <row r="991" spans="2:15" x14ac:dyDescent="0.25">
      <c r="B991" s="36" t="s">
        <v>3068</v>
      </c>
      <c r="C991" s="35" t="s">
        <v>956</v>
      </c>
      <c r="D991" s="36" t="s">
        <v>956</v>
      </c>
      <c r="E991" s="37">
        <v>3.6270999999999998E-2</v>
      </c>
      <c r="F991" s="38">
        <v>144.048</v>
      </c>
      <c r="G991" s="39">
        <v>87.742599999999996</v>
      </c>
      <c r="H991" s="39"/>
      <c r="I991" s="40"/>
      <c r="J991" s="40">
        <v>20000000</v>
      </c>
      <c r="K991" s="46">
        <v>-2.97</v>
      </c>
      <c r="L991" s="46">
        <v>21.5</v>
      </c>
      <c r="M991" s="46">
        <v>-74.25</v>
      </c>
      <c r="N991" s="36">
        <v>987</v>
      </c>
      <c r="O991" s="41">
        <v>42998.86791666667</v>
      </c>
    </row>
    <row r="992" spans="2:15" x14ac:dyDescent="0.25">
      <c r="B992" s="36" t="s">
        <v>3106</v>
      </c>
      <c r="C992" s="35" t="s">
        <v>1001</v>
      </c>
      <c r="D992" s="36" t="s">
        <v>2028</v>
      </c>
      <c r="E992" s="37">
        <v>1E-8</v>
      </c>
      <c r="F992" s="38">
        <v>3.97143E-5</v>
      </c>
      <c r="G992" s="39">
        <v>86.550299999999993</v>
      </c>
      <c r="H992" s="39"/>
      <c r="I992" s="40"/>
      <c r="J992" s="40"/>
      <c r="K992" s="46">
        <v>-0.05</v>
      </c>
      <c r="L992" s="46">
        <v>794.4</v>
      </c>
      <c r="M992" s="46">
        <v>100</v>
      </c>
      <c r="N992" s="36">
        <v>988</v>
      </c>
      <c r="O992" s="41">
        <v>42998.867847222224</v>
      </c>
    </row>
    <row r="993" spans="2:15" x14ac:dyDescent="0.25">
      <c r="B993" s="36" t="s">
        <v>3003</v>
      </c>
      <c r="C993" s="35" t="s">
        <v>912</v>
      </c>
      <c r="D993" s="36" t="s">
        <v>1946</v>
      </c>
      <c r="E993" s="37">
        <v>5.7000000000000005E-7</v>
      </c>
      <c r="F993" s="38">
        <v>2.2815600000000002E-3</v>
      </c>
      <c r="G993" s="39">
        <v>84.419399999999996</v>
      </c>
      <c r="H993" s="39"/>
      <c r="I993" s="40"/>
      <c r="J993" s="40"/>
      <c r="K993" s="46">
        <v>0</v>
      </c>
      <c r="L993" s="46">
        <v>-34.700000000000003</v>
      </c>
      <c r="M993" s="46">
        <v>-85</v>
      </c>
      <c r="N993" s="36">
        <v>989</v>
      </c>
      <c r="O993" s="41">
        <v>42998.868009259262</v>
      </c>
    </row>
    <row r="994" spans="2:15" x14ac:dyDescent="0.25">
      <c r="B994" s="36" t="s">
        <v>3144</v>
      </c>
      <c r="C994" s="35" t="s">
        <v>1038</v>
      </c>
      <c r="D994" s="36" t="s">
        <v>2064</v>
      </c>
      <c r="E994" s="37">
        <v>3.8000000000000001E-7</v>
      </c>
      <c r="F994" s="38">
        <v>1.50914E-3</v>
      </c>
      <c r="G994" s="39">
        <v>82.971999999999994</v>
      </c>
      <c r="H994" s="39"/>
      <c r="I994" s="40"/>
      <c r="J994" s="40">
        <v>2500124</v>
      </c>
      <c r="K994" s="46">
        <v>-0.05</v>
      </c>
      <c r="L994" s="46">
        <v>-45.68</v>
      </c>
      <c r="M994" s="46">
        <v>-57.71</v>
      </c>
      <c r="N994" s="36">
        <v>990</v>
      </c>
      <c r="O994" s="41">
        <v>42998.867777777778</v>
      </c>
    </row>
    <row r="995" spans="2:15" x14ac:dyDescent="0.25">
      <c r="B995" s="36" t="s">
        <v>3035</v>
      </c>
      <c r="C995" s="35" t="s">
        <v>953</v>
      </c>
      <c r="D995" s="36" t="s">
        <v>1982</v>
      </c>
      <c r="E995" s="37">
        <v>1.2E-4</v>
      </c>
      <c r="F995" s="38">
        <v>0.476572</v>
      </c>
      <c r="G995" s="39">
        <v>80.813299999999998</v>
      </c>
      <c r="H995" s="39"/>
      <c r="I995" s="40"/>
      <c r="J995" s="40">
        <v>210000000</v>
      </c>
      <c r="K995" s="46">
        <v>-0.05</v>
      </c>
      <c r="L995" s="46">
        <v>-25.28</v>
      </c>
      <c r="M995" s="46">
        <v>-48.82</v>
      </c>
      <c r="N995" s="36">
        <v>991</v>
      </c>
      <c r="O995" s="41">
        <v>42998.867893518516</v>
      </c>
    </row>
    <row r="996" spans="2:15" x14ac:dyDescent="0.25">
      <c r="B996" s="36" t="s">
        <v>3148</v>
      </c>
      <c r="C996" s="35" t="s">
        <v>1069</v>
      </c>
      <c r="D996" s="36" t="s">
        <v>2092</v>
      </c>
      <c r="E996" s="37">
        <v>2.9999999999999997E-8</v>
      </c>
      <c r="F996" s="38">
        <v>1.1914299999999999E-4</v>
      </c>
      <c r="G996" s="39">
        <v>75.823999999999998</v>
      </c>
      <c r="H996" s="39"/>
      <c r="I996" s="40"/>
      <c r="J996" s="40"/>
      <c r="K996" s="46">
        <v>-0.05</v>
      </c>
      <c r="L996" s="46">
        <v>1.58</v>
      </c>
      <c r="M996" s="46"/>
      <c r="N996" s="36">
        <v>992</v>
      </c>
      <c r="O996" s="41">
        <v>42998.867939814816</v>
      </c>
    </row>
    <row r="997" spans="2:15" x14ac:dyDescent="0.25">
      <c r="B997" s="36" t="s">
        <v>3069</v>
      </c>
      <c r="C997" s="35" t="s">
        <v>959</v>
      </c>
      <c r="D997" s="36" t="s">
        <v>1988</v>
      </c>
      <c r="E997" s="37">
        <v>1.075E-5</v>
      </c>
      <c r="F997" s="38">
        <v>4.2683600000000002E-2</v>
      </c>
      <c r="G997" s="39">
        <v>74.056100000000001</v>
      </c>
      <c r="H997" s="39"/>
      <c r="I997" s="40"/>
      <c r="J997" s="40">
        <v>10000000</v>
      </c>
      <c r="K997" s="46">
        <v>0.02</v>
      </c>
      <c r="L997" s="46">
        <v>-19.21</v>
      </c>
      <c r="M997" s="46">
        <v>-30.5</v>
      </c>
      <c r="N997" s="36">
        <v>993</v>
      </c>
      <c r="O997" s="41">
        <v>42998.867939814816</v>
      </c>
    </row>
    <row r="998" spans="2:15" x14ac:dyDescent="0.25">
      <c r="B998" s="36" t="s">
        <v>3026</v>
      </c>
      <c r="C998" s="35" t="s">
        <v>931</v>
      </c>
      <c r="D998" s="36" t="s">
        <v>1961</v>
      </c>
      <c r="E998" s="37">
        <v>2E-8</v>
      </c>
      <c r="F998" s="38">
        <v>7.94286E-5</v>
      </c>
      <c r="G998" s="39">
        <v>73.391400000000004</v>
      </c>
      <c r="H998" s="39"/>
      <c r="I998" s="40"/>
      <c r="J998" s="40"/>
      <c r="K998" s="46">
        <v>-0.05</v>
      </c>
      <c r="L998" s="46">
        <v>-2.27</v>
      </c>
      <c r="M998" s="46">
        <v>-0.39</v>
      </c>
      <c r="N998" s="36">
        <v>994</v>
      </c>
      <c r="O998" s="41">
        <v>42998.867534722223</v>
      </c>
    </row>
    <row r="999" spans="2:15" x14ac:dyDescent="0.25">
      <c r="B999" s="36" t="s">
        <v>3129</v>
      </c>
      <c r="C999" s="35" t="s">
        <v>1012</v>
      </c>
      <c r="D999" s="36" t="s">
        <v>2038</v>
      </c>
      <c r="E999" s="37">
        <v>8.0000000000000002E-8</v>
      </c>
      <c r="F999" s="38">
        <v>3.1771399999999997E-4</v>
      </c>
      <c r="G999" s="39">
        <v>71.352999999999994</v>
      </c>
      <c r="H999" s="39"/>
      <c r="I999" s="40"/>
      <c r="J999" s="40">
        <v>1068669648</v>
      </c>
      <c r="K999" s="46">
        <v>4.3600000000000003</v>
      </c>
      <c r="L999" s="46">
        <v>35.340000000000003</v>
      </c>
      <c r="M999" s="46">
        <v>73.92</v>
      </c>
      <c r="N999" s="36">
        <v>995</v>
      </c>
      <c r="O999" s="41">
        <v>42998.867824074077</v>
      </c>
    </row>
    <row r="1000" spans="2:15" x14ac:dyDescent="0.25">
      <c r="B1000" s="36" t="s">
        <v>3125</v>
      </c>
      <c r="C1000" s="35" t="s">
        <v>1019</v>
      </c>
      <c r="D1000" s="36" t="s">
        <v>2045</v>
      </c>
      <c r="E1000" s="37">
        <v>2.9999999999999997E-8</v>
      </c>
      <c r="F1000" s="38">
        <v>1.1914299999999999E-4</v>
      </c>
      <c r="G1000" s="39">
        <v>70.058000000000007</v>
      </c>
      <c r="H1000" s="39"/>
      <c r="I1000" s="40"/>
      <c r="J1000" s="40">
        <v>900096049</v>
      </c>
      <c r="K1000" s="46">
        <v>-0.05</v>
      </c>
      <c r="L1000" s="46">
        <v>-23.87</v>
      </c>
      <c r="M1000" s="46">
        <v>48.24</v>
      </c>
      <c r="N1000" s="36">
        <v>996</v>
      </c>
      <c r="O1000" s="41">
        <v>42998.867789351854</v>
      </c>
    </row>
    <row r="1001" spans="2:15" x14ac:dyDescent="0.25">
      <c r="B1001" s="36" t="s">
        <v>2999</v>
      </c>
      <c r="C1001" s="35" t="s">
        <v>883</v>
      </c>
      <c r="D1001" s="36" t="s">
        <v>1920</v>
      </c>
      <c r="E1001" s="37">
        <v>1E-8</v>
      </c>
      <c r="F1001" s="38">
        <v>3.9685399999999998E-5</v>
      </c>
      <c r="G1001" s="39">
        <v>69.126499999999993</v>
      </c>
      <c r="H1001" s="39"/>
      <c r="I1001" s="40"/>
      <c r="J1001" s="40"/>
      <c r="K1001" s="46">
        <v>-0.25</v>
      </c>
      <c r="L1001" s="46">
        <v>1.37</v>
      </c>
      <c r="M1001" s="46">
        <v>1.86</v>
      </c>
      <c r="N1001" s="36">
        <v>997</v>
      </c>
      <c r="O1001" s="41">
        <v>42998.86451388889</v>
      </c>
    </row>
    <row r="1002" spans="2:15" x14ac:dyDescent="0.25">
      <c r="B1002" s="36" t="s">
        <v>2988</v>
      </c>
      <c r="C1002" s="35" t="s">
        <v>887</v>
      </c>
      <c r="D1002" s="36" t="s">
        <v>1924</v>
      </c>
      <c r="E1002" s="37">
        <v>4.9999999999999998E-8</v>
      </c>
      <c r="F1002" s="38">
        <v>1.9857100000000001E-4</v>
      </c>
      <c r="G1002" s="39">
        <v>67.549599999999998</v>
      </c>
      <c r="H1002" s="39"/>
      <c r="I1002" s="40"/>
      <c r="J1002" s="40">
        <v>92233720369</v>
      </c>
      <c r="K1002" s="46">
        <v>-0.05</v>
      </c>
      <c r="L1002" s="46">
        <v>1.51</v>
      </c>
      <c r="M1002" s="46">
        <v>-34.03</v>
      </c>
      <c r="N1002" s="36">
        <v>998</v>
      </c>
      <c r="O1002" s="41">
        <v>42998.86787037037</v>
      </c>
    </row>
    <row r="1003" spans="2:15" x14ac:dyDescent="0.25">
      <c r="B1003" s="36" t="s">
        <v>3083</v>
      </c>
      <c r="C1003" s="35" t="s">
        <v>908</v>
      </c>
      <c r="D1003" s="36" t="s">
        <v>1942</v>
      </c>
      <c r="E1003" s="37">
        <v>6.7999999999999995E-7</v>
      </c>
      <c r="F1003" s="38">
        <v>2.7020600000000001E-3</v>
      </c>
      <c r="G1003" s="39">
        <v>66.686499999999995</v>
      </c>
      <c r="H1003" s="39"/>
      <c r="I1003" s="40"/>
      <c r="J1003" s="40">
        <v>1052478590</v>
      </c>
      <c r="K1003" s="46">
        <v>-4.8499999999999996</v>
      </c>
      <c r="L1003" s="46">
        <v>1.95</v>
      </c>
      <c r="M1003" s="46">
        <v>-39.130000000000003</v>
      </c>
      <c r="N1003" s="36">
        <v>999</v>
      </c>
      <c r="O1003" s="41">
        <v>42998.867893518516</v>
      </c>
    </row>
    <row r="1004" spans="2:15" x14ac:dyDescent="0.25">
      <c r="B1004" s="36" t="s">
        <v>3165</v>
      </c>
      <c r="C1004" s="35" t="s">
        <v>1055</v>
      </c>
      <c r="D1004" s="36" t="s">
        <v>2078</v>
      </c>
      <c r="E1004" s="37">
        <v>1.1E-4</v>
      </c>
      <c r="F1004" s="38">
        <v>0.436857</v>
      </c>
      <c r="G1004" s="39">
        <v>66.341300000000004</v>
      </c>
      <c r="H1004" s="39"/>
      <c r="I1004" s="40"/>
      <c r="J1004" s="40"/>
      <c r="K1004" s="46">
        <v>-0.12</v>
      </c>
      <c r="L1004" s="46">
        <v>1.5</v>
      </c>
      <c r="M1004" s="46">
        <v>20.63</v>
      </c>
      <c r="N1004" s="36">
        <v>1000</v>
      </c>
      <c r="O1004" s="41">
        <v>42998.867638888885</v>
      </c>
    </row>
    <row r="1005" spans="2:15" x14ac:dyDescent="0.25">
      <c r="B1005" s="36" t="s">
        <v>3063</v>
      </c>
      <c r="C1005" s="35" t="s">
        <v>1003</v>
      </c>
      <c r="D1005" s="36" t="s">
        <v>2030</v>
      </c>
      <c r="E1005" s="37">
        <v>1.4000000000000001E-7</v>
      </c>
      <c r="F1005" s="38">
        <v>5.5599999999999996E-4</v>
      </c>
      <c r="G1005" s="39">
        <v>63.429499999999997</v>
      </c>
      <c r="H1005" s="39"/>
      <c r="I1005" s="40"/>
      <c r="J1005" s="40"/>
      <c r="K1005" s="46">
        <v>-0.05</v>
      </c>
      <c r="L1005" s="46">
        <v>-5.27</v>
      </c>
      <c r="M1005" s="46">
        <v>-1.63</v>
      </c>
      <c r="N1005" s="36">
        <v>1001</v>
      </c>
      <c r="O1005" s="41">
        <v>42998.867881944447</v>
      </c>
    </row>
    <row r="1006" spans="2:15" x14ac:dyDescent="0.25">
      <c r="B1006" s="36" t="s">
        <v>3051</v>
      </c>
      <c r="C1006" s="35" t="s">
        <v>929</v>
      </c>
      <c r="D1006" s="36" t="s">
        <v>1959</v>
      </c>
      <c r="E1006" s="37">
        <v>1.9000000000000001E-7</v>
      </c>
      <c r="F1006" s="38">
        <v>7.5457200000000001E-4</v>
      </c>
      <c r="G1006" s="39">
        <v>62.345399999999998</v>
      </c>
      <c r="H1006" s="39"/>
      <c r="I1006" s="40"/>
      <c r="J1006" s="40">
        <v>100000000</v>
      </c>
      <c r="K1006" s="46">
        <v>-0.05</v>
      </c>
      <c r="L1006" s="46">
        <v>27.44</v>
      </c>
      <c r="M1006" s="46">
        <v>-28.11</v>
      </c>
      <c r="N1006" s="36">
        <v>1002</v>
      </c>
      <c r="O1006" s="41">
        <v>42998.867881944447</v>
      </c>
    </row>
    <row r="1007" spans="2:15" x14ac:dyDescent="0.25">
      <c r="B1007" s="36" t="s">
        <v>3118</v>
      </c>
      <c r="C1007" s="35" t="s">
        <v>997</v>
      </c>
      <c r="D1007" s="36" t="s">
        <v>2024</v>
      </c>
      <c r="E1007" s="37">
        <v>4.9999999999999998E-8</v>
      </c>
      <c r="F1007" s="38">
        <v>1.8133600000000001E-4</v>
      </c>
      <c r="G1007" s="39">
        <v>62.011200000000002</v>
      </c>
      <c r="H1007" s="39"/>
      <c r="I1007" s="40"/>
      <c r="J1007" s="40"/>
      <c r="K1007" s="46">
        <v>-3.22</v>
      </c>
      <c r="L1007" s="46">
        <v>30.22</v>
      </c>
      <c r="M1007" s="46">
        <v>6.75</v>
      </c>
      <c r="N1007" s="36">
        <v>1003</v>
      </c>
      <c r="O1007" s="41">
        <v>42998.86451388889</v>
      </c>
    </row>
    <row r="1008" spans="2:15" x14ac:dyDescent="0.25">
      <c r="B1008" s="36" t="s">
        <v>3108</v>
      </c>
      <c r="C1008" s="35" t="s">
        <v>970</v>
      </c>
      <c r="D1008" s="36" t="s">
        <v>1999</v>
      </c>
      <c r="E1008" s="37">
        <v>2E-8</v>
      </c>
      <c r="F1008" s="38">
        <v>6.3101099999999998E-5</v>
      </c>
      <c r="G1008" s="39">
        <v>59.2517</v>
      </c>
      <c r="H1008" s="39"/>
      <c r="I1008" s="40"/>
      <c r="J1008" s="40"/>
      <c r="K1008" s="46">
        <v>21.8</v>
      </c>
      <c r="L1008" s="46">
        <v>55.86</v>
      </c>
      <c r="M1008" s="46">
        <v>-18.97</v>
      </c>
      <c r="N1008" s="36">
        <v>1004</v>
      </c>
      <c r="O1008" s="41">
        <v>42998.867835648147</v>
      </c>
    </row>
    <row r="1009" spans="2:15" x14ac:dyDescent="0.25">
      <c r="B1009" s="36" t="s">
        <v>3050</v>
      </c>
      <c r="C1009" s="35" t="s">
        <v>993</v>
      </c>
      <c r="D1009" s="36" t="s">
        <v>2020</v>
      </c>
      <c r="E1009" s="37">
        <v>2E-8</v>
      </c>
      <c r="F1009" s="38">
        <v>7.1278099999999998E-5</v>
      </c>
      <c r="G1009" s="39">
        <v>58.316200000000002</v>
      </c>
      <c r="H1009" s="39"/>
      <c r="I1009" s="40"/>
      <c r="J1009" s="40"/>
      <c r="K1009" s="46">
        <v>-0.08</v>
      </c>
      <c r="L1009" s="46">
        <v>17.399999999999999</v>
      </c>
      <c r="M1009" s="46">
        <v>-8.2899999999999991</v>
      </c>
      <c r="N1009" s="36">
        <v>1005</v>
      </c>
      <c r="O1009" s="41">
        <v>42998.867858796293</v>
      </c>
    </row>
    <row r="1010" spans="2:15" x14ac:dyDescent="0.25">
      <c r="B1010" s="36" t="s">
        <v>3009</v>
      </c>
      <c r="C1010" s="35" t="s">
        <v>905</v>
      </c>
      <c r="D1010" s="36" t="s">
        <v>1939</v>
      </c>
      <c r="E1010" s="37">
        <v>1.37E-6</v>
      </c>
      <c r="F1010" s="38">
        <v>5.4331099999999997E-3</v>
      </c>
      <c r="G1010" s="39">
        <v>54.905999999999999</v>
      </c>
      <c r="H1010" s="39"/>
      <c r="I1010" s="40"/>
      <c r="J1010" s="40"/>
      <c r="K1010" s="46">
        <v>-36.380000000000003</v>
      </c>
      <c r="L1010" s="46">
        <v>283.85000000000002</v>
      </c>
      <c r="M1010" s="46">
        <v>-42.15</v>
      </c>
      <c r="N1010" s="36">
        <v>1006</v>
      </c>
      <c r="O1010" s="41">
        <v>42998.864502314813</v>
      </c>
    </row>
    <row r="1011" spans="2:15" x14ac:dyDescent="0.25">
      <c r="B1011" s="36" t="s">
        <v>3167</v>
      </c>
      <c r="C1011" s="35" t="s">
        <v>1054</v>
      </c>
      <c r="D1011" s="36" t="s">
        <v>2077</v>
      </c>
      <c r="E1011" s="37">
        <v>4.1699999999999999E-6</v>
      </c>
      <c r="F1011" s="38">
        <v>1.65609E-2</v>
      </c>
      <c r="G1011" s="39">
        <v>54.146900000000002</v>
      </c>
      <c r="H1011" s="39"/>
      <c r="I1011" s="40"/>
      <c r="J1011" s="40"/>
      <c r="K1011" s="46">
        <v>0.38</v>
      </c>
      <c r="L1011" s="46">
        <v>-33.36</v>
      </c>
      <c r="M1011" s="46">
        <v>24.97</v>
      </c>
      <c r="N1011" s="36">
        <v>1007</v>
      </c>
      <c r="O1011" s="41">
        <v>42998.867627314816</v>
      </c>
    </row>
    <row r="1012" spans="2:15" x14ac:dyDescent="0.25">
      <c r="B1012" s="36" t="s">
        <v>3047</v>
      </c>
      <c r="C1012" s="35" t="s">
        <v>942</v>
      </c>
      <c r="D1012" s="36" t="s">
        <v>1972</v>
      </c>
      <c r="E1012" s="37">
        <v>1.3E-7</v>
      </c>
      <c r="F1012" s="38">
        <v>5.1283199999999996E-4</v>
      </c>
      <c r="G1012" s="39">
        <v>54.052599999999998</v>
      </c>
      <c r="H1012" s="39"/>
      <c r="I1012" s="40"/>
      <c r="J1012" s="40"/>
      <c r="K1012" s="46">
        <v>-7.08</v>
      </c>
      <c r="L1012" s="46">
        <v>-0.45</v>
      </c>
      <c r="M1012" s="46">
        <v>-6.11</v>
      </c>
      <c r="N1012" s="36">
        <v>1008</v>
      </c>
      <c r="O1012" s="41">
        <v>42998.867511574077</v>
      </c>
    </row>
    <row r="1013" spans="2:15" x14ac:dyDescent="0.25">
      <c r="B1013" s="36" t="s">
        <v>3117</v>
      </c>
      <c r="C1013" s="35" t="s">
        <v>1031</v>
      </c>
      <c r="D1013" s="36" t="s">
        <v>2057</v>
      </c>
      <c r="E1013" s="37">
        <v>3.1E-7</v>
      </c>
      <c r="F1013" s="38">
        <v>1.2311399999999999E-3</v>
      </c>
      <c r="G1013" s="39">
        <v>47.284599999999998</v>
      </c>
      <c r="H1013" s="39"/>
      <c r="I1013" s="40"/>
      <c r="J1013" s="40"/>
      <c r="K1013" s="46">
        <v>-0.05</v>
      </c>
      <c r="L1013" s="46">
        <v>1.51</v>
      </c>
      <c r="M1013" s="46">
        <v>-12.82</v>
      </c>
      <c r="N1013" s="36">
        <v>1009</v>
      </c>
      <c r="O1013" s="41">
        <v>42998.867650462962</v>
      </c>
    </row>
    <row r="1014" spans="2:15" x14ac:dyDescent="0.25">
      <c r="B1014" s="36" t="s">
        <v>3028</v>
      </c>
      <c r="C1014" s="35" t="s">
        <v>918</v>
      </c>
      <c r="D1014" s="36" t="s">
        <v>1950</v>
      </c>
      <c r="E1014" s="37">
        <v>3E-10</v>
      </c>
      <c r="F1014" s="38">
        <v>1.2694000000000001E-6</v>
      </c>
      <c r="G1014" s="39">
        <v>38.349200000000003</v>
      </c>
      <c r="H1014" s="39"/>
      <c r="I1014" s="40"/>
      <c r="J1014" s="40"/>
      <c r="K1014" s="46">
        <v>-0.48</v>
      </c>
      <c r="L1014" s="46">
        <v>-82.06</v>
      </c>
      <c r="M1014" s="46">
        <v>-30</v>
      </c>
      <c r="N1014" s="36">
        <v>1010</v>
      </c>
      <c r="O1014" s="41">
        <v>42998.867569444446</v>
      </c>
    </row>
    <row r="1015" spans="2:15" x14ac:dyDescent="0.25">
      <c r="B1015" s="36" t="s">
        <v>3004</v>
      </c>
      <c r="C1015" s="35" t="s">
        <v>933</v>
      </c>
      <c r="D1015" s="36" t="s">
        <v>1963</v>
      </c>
      <c r="E1015" s="37">
        <v>5.0000000000000001E-9</v>
      </c>
      <c r="F1015" s="38">
        <v>1.9672599999999999E-5</v>
      </c>
      <c r="G1015" s="39">
        <v>36.370199999999997</v>
      </c>
      <c r="H1015" s="39"/>
      <c r="I1015" s="40"/>
      <c r="J1015" s="40">
        <v>8001599000</v>
      </c>
      <c r="K1015" s="46">
        <v>-4.82</v>
      </c>
      <c r="L1015" s="46">
        <v>-23.43</v>
      </c>
      <c r="M1015" s="46">
        <v>-48.09</v>
      </c>
      <c r="N1015" s="36">
        <v>1011</v>
      </c>
      <c r="O1015" s="41">
        <v>42998.867962962962</v>
      </c>
    </row>
    <row r="1016" spans="2:15" x14ac:dyDescent="0.25">
      <c r="B1016" s="36" t="s">
        <v>3059</v>
      </c>
      <c r="C1016" s="35" t="s">
        <v>941</v>
      </c>
      <c r="D1016" s="36" t="s">
        <v>1971</v>
      </c>
      <c r="E1016" s="37">
        <v>1E-8</v>
      </c>
      <c r="F1016" s="42">
        <v>5.4880399999999997E-5</v>
      </c>
      <c r="G1016" s="39">
        <v>33.333300000000001</v>
      </c>
      <c r="H1016" s="39"/>
      <c r="I1016" s="40"/>
      <c r="J1016" s="40"/>
      <c r="K1016" s="46">
        <v>-0.36</v>
      </c>
      <c r="L1016" s="46">
        <v>-29.53</v>
      </c>
      <c r="M1016" s="46">
        <v>-51.16</v>
      </c>
      <c r="N1016" s="36">
        <v>1012</v>
      </c>
      <c r="O1016" s="41">
        <v>42998.867754629631</v>
      </c>
    </row>
    <row r="1017" spans="2:15" x14ac:dyDescent="0.25">
      <c r="B1017" s="36" t="s">
        <v>3080</v>
      </c>
      <c r="C1017" s="35" t="s">
        <v>907</v>
      </c>
      <c r="D1017" s="36" t="s">
        <v>1941</v>
      </c>
      <c r="E1017" s="37">
        <v>2.9999999999999997E-8</v>
      </c>
      <c r="F1017" s="38">
        <v>1.1914299999999999E-4</v>
      </c>
      <c r="G1017" s="39">
        <v>31.6005</v>
      </c>
      <c r="H1017" s="39"/>
      <c r="I1017" s="40"/>
      <c r="J1017" s="40"/>
      <c r="K1017" s="46">
        <v>-0.05</v>
      </c>
      <c r="L1017" s="46">
        <v>41.03</v>
      </c>
      <c r="M1017" s="46">
        <v>10.029999999999999</v>
      </c>
      <c r="N1017" s="36">
        <v>1013</v>
      </c>
      <c r="O1017" s="41">
        <v>42998.867465277777</v>
      </c>
    </row>
    <row r="1018" spans="2:15" x14ac:dyDescent="0.25">
      <c r="B1018" s="36" t="s">
        <v>3100</v>
      </c>
      <c r="C1018" s="35" t="s">
        <v>977</v>
      </c>
      <c r="D1018" s="36" t="s">
        <v>2005</v>
      </c>
      <c r="E1018" s="37">
        <v>2E-8</v>
      </c>
      <c r="F1018" s="38">
        <v>7.94286E-5</v>
      </c>
      <c r="G1018" s="39">
        <v>27.139700000000001</v>
      </c>
      <c r="H1018" s="39"/>
      <c r="I1018" s="40"/>
      <c r="J1018" s="40"/>
      <c r="K1018" s="46">
        <v>-0.05</v>
      </c>
      <c r="L1018" s="46">
        <v>3.81</v>
      </c>
      <c r="M1018" s="46">
        <v>-30.35</v>
      </c>
      <c r="N1018" s="36">
        <v>1014</v>
      </c>
      <c r="O1018" s="41">
        <v>42998.868009259262</v>
      </c>
    </row>
    <row r="1019" spans="2:15" x14ac:dyDescent="0.25">
      <c r="B1019" s="36" t="s">
        <v>3076</v>
      </c>
      <c r="C1019" s="35" t="s">
        <v>989</v>
      </c>
      <c r="D1019" s="36" t="s">
        <v>2016</v>
      </c>
      <c r="E1019" s="37">
        <v>4.3200000000000001E-6</v>
      </c>
      <c r="F1019" s="38">
        <v>1.7156600000000001E-2</v>
      </c>
      <c r="G1019" s="39">
        <v>26.0517</v>
      </c>
      <c r="H1019" s="39"/>
      <c r="I1019" s="40"/>
      <c r="J1019" s="40"/>
      <c r="K1019" s="46">
        <v>-0.05</v>
      </c>
      <c r="L1019" s="46">
        <v>-8.08</v>
      </c>
      <c r="M1019" s="46">
        <v>42.8</v>
      </c>
      <c r="N1019" s="36">
        <v>1015</v>
      </c>
      <c r="O1019" s="41">
        <v>42998.868009259262</v>
      </c>
    </row>
    <row r="1020" spans="2:15" x14ac:dyDescent="0.25">
      <c r="B1020" s="36" t="s">
        <v>3052</v>
      </c>
      <c r="C1020" s="35" t="s">
        <v>947</v>
      </c>
      <c r="D1020" s="36" t="s">
        <v>1977</v>
      </c>
      <c r="E1020" s="37">
        <v>2.4399999999999999E-6</v>
      </c>
      <c r="F1020" s="38">
        <v>9.6902900000000007E-3</v>
      </c>
      <c r="G1020" s="39">
        <v>25.197600000000001</v>
      </c>
      <c r="H1020" s="39"/>
      <c r="I1020" s="40"/>
      <c r="J1020" s="40"/>
      <c r="K1020" s="46">
        <v>-0.1</v>
      </c>
      <c r="L1020" s="46">
        <v>-8.1</v>
      </c>
      <c r="M1020" s="46">
        <v>-16.489999999999998</v>
      </c>
      <c r="N1020" s="36">
        <v>1016</v>
      </c>
      <c r="O1020" s="41">
        <v>42998.867511574077</v>
      </c>
    </row>
    <row r="1021" spans="2:15" x14ac:dyDescent="0.25">
      <c r="B1021" s="36" t="s">
        <v>3151</v>
      </c>
      <c r="C1021" s="35" t="s">
        <v>1022</v>
      </c>
      <c r="D1021" s="36" t="s">
        <v>2048</v>
      </c>
      <c r="E1021" s="37">
        <v>1E-8</v>
      </c>
      <c r="F1021" s="38">
        <v>3.97143E-5</v>
      </c>
      <c r="G1021" s="39">
        <v>22.795200000000001</v>
      </c>
      <c r="H1021" s="39"/>
      <c r="I1021" s="40"/>
      <c r="J1021" s="40"/>
      <c r="K1021" s="46">
        <v>-0.05</v>
      </c>
      <c r="L1021" s="46">
        <v>1.51</v>
      </c>
      <c r="M1021" s="46">
        <v>1.92</v>
      </c>
      <c r="N1021" s="36">
        <v>1017</v>
      </c>
      <c r="O1021" s="41">
        <v>42998.867777777778</v>
      </c>
    </row>
    <row r="1022" spans="2:15" x14ac:dyDescent="0.25">
      <c r="B1022" s="36" t="s">
        <v>3147</v>
      </c>
      <c r="C1022" s="35" t="s">
        <v>1035</v>
      </c>
      <c r="D1022" s="36" t="s">
        <v>2061</v>
      </c>
      <c r="E1022" s="37">
        <v>1.3E-7</v>
      </c>
      <c r="F1022" s="38">
        <v>5.1184400000000001E-4</v>
      </c>
      <c r="G1022" s="39">
        <v>22.424499999999998</v>
      </c>
      <c r="H1022" s="39"/>
      <c r="I1022" s="40"/>
      <c r="J1022" s="40"/>
      <c r="K1022" s="46">
        <v>-0.12</v>
      </c>
      <c r="L1022" s="46">
        <v>-45.56</v>
      </c>
      <c r="M1022" s="46">
        <v>-21.66</v>
      </c>
      <c r="N1022" s="36">
        <v>1018</v>
      </c>
      <c r="O1022" s="41">
        <v>42998.867743055554</v>
      </c>
    </row>
    <row r="1023" spans="2:15" x14ac:dyDescent="0.25">
      <c r="B1023" s="36" t="s">
        <v>3072</v>
      </c>
      <c r="C1023" s="35" t="s">
        <v>969</v>
      </c>
      <c r="D1023" s="36" t="s">
        <v>1998</v>
      </c>
      <c r="E1023" s="37">
        <v>4.9999999999999998E-8</v>
      </c>
      <c r="F1023" s="38">
        <v>1.9857100000000001E-4</v>
      </c>
      <c r="G1023" s="39">
        <v>20.024699999999999</v>
      </c>
      <c r="H1023" s="39"/>
      <c r="I1023" s="40"/>
      <c r="J1023" s="40"/>
      <c r="K1023" s="46">
        <v>-9.15</v>
      </c>
      <c r="L1023" s="46">
        <v>1.51</v>
      </c>
      <c r="M1023" s="46">
        <v>-27.74</v>
      </c>
      <c r="N1023" s="36">
        <v>1019</v>
      </c>
      <c r="O1023" s="41">
        <v>42998.867847222224</v>
      </c>
    </row>
    <row r="1024" spans="2:15" x14ac:dyDescent="0.25">
      <c r="B1024" s="36" t="s">
        <v>3089</v>
      </c>
      <c r="C1024" s="35" t="s">
        <v>1013</v>
      </c>
      <c r="D1024" s="36" t="s">
        <v>2039</v>
      </c>
      <c r="E1024" s="37">
        <v>1.3035999999999999E-4</v>
      </c>
      <c r="F1024" s="38">
        <v>0.51770799999999995</v>
      </c>
      <c r="G1024" s="39">
        <v>19.5977</v>
      </c>
      <c r="H1024" s="39"/>
      <c r="I1024" s="40"/>
      <c r="J1024" s="40"/>
      <c r="K1024" s="46">
        <v>-0.05</v>
      </c>
      <c r="L1024" s="46">
        <v>4.12</v>
      </c>
      <c r="M1024" s="46">
        <v>6.9</v>
      </c>
      <c r="N1024" s="36">
        <v>1020</v>
      </c>
      <c r="O1024" s="41">
        <v>42998.867407407408</v>
      </c>
    </row>
    <row r="1025" spans="2:15" x14ac:dyDescent="0.25">
      <c r="B1025" s="36" t="s">
        <v>3020</v>
      </c>
      <c r="C1025" s="35" t="s">
        <v>916</v>
      </c>
      <c r="D1025" s="36" t="s">
        <v>1949</v>
      </c>
      <c r="E1025" s="37">
        <v>2.6E-7</v>
      </c>
      <c r="F1025" s="38">
        <v>1.01325E-3</v>
      </c>
      <c r="G1025" s="39">
        <v>19.388100000000001</v>
      </c>
      <c r="H1025" s="39"/>
      <c r="I1025" s="40"/>
      <c r="J1025" s="40">
        <v>19003881978</v>
      </c>
      <c r="K1025" s="46">
        <v>-0.05</v>
      </c>
      <c r="L1025" s="46">
        <v>4.8600000000000003</v>
      </c>
      <c r="M1025" s="46">
        <v>-4.37</v>
      </c>
      <c r="N1025" s="36">
        <v>1021</v>
      </c>
      <c r="O1025" s="41">
        <v>42998.867812500001</v>
      </c>
    </row>
    <row r="1026" spans="2:15" x14ac:dyDescent="0.25">
      <c r="B1026" s="36" t="s">
        <v>3099</v>
      </c>
      <c r="C1026" s="35" t="s">
        <v>990</v>
      </c>
      <c r="D1026" s="36" t="s">
        <v>2017</v>
      </c>
      <c r="E1026" s="37">
        <v>3.2000000000000001E-7</v>
      </c>
      <c r="F1026" s="38">
        <v>1.27086E-3</v>
      </c>
      <c r="G1026" s="39">
        <v>19.0657</v>
      </c>
      <c r="H1026" s="39"/>
      <c r="I1026" s="40"/>
      <c r="J1026" s="40"/>
      <c r="K1026" s="46">
        <v>-1.59</v>
      </c>
      <c r="L1026" s="46">
        <v>-7.2</v>
      </c>
      <c r="M1026" s="46">
        <v>-14.19</v>
      </c>
      <c r="N1026" s="36">
        <v>1022</v>
      </c>
      <c r="O1026" s="41">
        <v>42998.867546296293</v>
      </c>
    </row>
    <row r="1027" spans="2:15" x14ac:dyDescent="0.25">
      <c r="B1027" s="36" t="s">
        <v>3156</v>
      </c>
      <c r="C1027" s="35" t="s">
        <v>1046</v>
      </c>
      <c r="D1027" s="36" t="s">
        <v>2070</v>
      </c>
      <c r="E1027" s="37">
        <v>5.906E-5</v>
      </c>
      <c r="F1027" s="38">
        <v>0.23455300000000001</v>
      </c>
      <c r="G1027" s="39">
        <v>18.693200000000001</v>
      </c>
      <c r="H1027" s="39"/>
      <c r="I1027" s="40"/>
      <c r="J1027" s="40"/>
      <c r="K1027" s="46">
        <v>-0.05</v>
      </c>
      <c r="L1027" s="46">
        <v>41.05</v>
      </c>
      <c r="M1027" s="46">
        <v>15.81</v>
      </c>
      <c r="N1027" s="36">
        <v>1023</v>
      </c>
      <c r="O1027" s="41">
        <v>42998.867627314816</v>
      </c>
    </row>
    <row r="1028" spans="2:15" x14ac:dyDescent="0.25">
      <c r="B1028" s="36" t="s">
        <v>3164</v>
      </c>
      <c r="C1028" s="35" t="s">
        <v>1053</v>
      </c>
      <c r="D1028" s="36" t="s">
        <v>1433</v>
      </c>
      <c r="E1028" s="37">
        <v>5.9999999999999995E-8</v>
      </c>
      <c r="F1028" s="38">
        <v>2.3828599999999999E-4</v>
      </c>
      <c r="G1028" s="39">
        <v>18.6661</v>
      </c>
      <c r="H1028" s="39"/>
      <c r="I1028" s="40"/>
      <c r="J1028" s="40">
        <v>23288760</v>
      </c>
      <c r="K1028" s="46">
        <v>-0.05</v>
      </c>
      <c r="L1028" s="46">
        <v>-44.63</v>
      </c>
      <c r="M1028" s="46"/>
      <c r="N1028" s="36">
        <v>1024</v>
      </c>
      <c r="O1028" s="41">
        <v>42998.867962962962</v>
      </c>
    </row>
    <row r="1029" spans="2:15" x14ac:dyDescent="0.25">
      <c r="B1029" s="36" t="s">
        <v>3137</v>
      </c>
      <c r="C1029" s="35" t="s">
        <v>1027</v>
      </c>
      <c r="D1029" s="36" t="s">
        <v>2053</v>
      </c>
      <c r="E1029" s="37">
        <v>2.4999999999999999E-7</v>
      </c>
      <c r="F1029" s="38">
        <v>9.9285699999999998E-4</v>
      </c>
      <c r="G1029" s="39">
        <v>17.507000000000001</v>
      </c>
      <c r="H1029" s="39"/>
      <c r="I1029" s="40"/>
      <c r="J1029" s="40"/>
      <c r="K1029" s="46">
        <v>-0.05</v>
      </c>
      <c r="L1029" s="46">
        <v>0.5</v>
      </c>
      <c r="M1029" s="46">
        <v>-8.33</v>
      </c>
      <c r="N1029" s="36">
        <v>1025</v>
      </c>
      <c r="O1029" s="41">
        <v>42998.867488425924</v>
      </c>
    </row>
    <row r="1030" spans="2:15" x14ac:dyDescent="0.25">
      <c r="B1030" s="36" t="s">
        <v>3149</v>
      </c>
      <c r="C1030" s="35" t="s">
        <v>1051</v>
      </c>
      <c r="D1030" s="36" t="s">
        <v>2075</v>
      </c>
      <c r="E1030" s="37">
        <v>1.3E-6</v>
      </c>
      <c r="F1030" s="38">
        <v>5.16286E-3</v>
      </c>
      <c r="G1030" s="39">
        <v>17.489699999999999</v>
      </c>
      <c r="H1030" s="39"/>
      <c r="I1030" s="40"/>
      <c r="J1030" s="40">
        <v>15005722</v>
      </c>
      <c r="K1030" s="46">
        <v>-0.05</v>
      </c>
      <c r="L1030" s="46"/>
      <c r="M1030" s="46">
        <v>-4.45</v>
      </c>
      <c r="N1030" s="36">
        <v>1026</v>
      </c>
      <c r="O1030" s="41">
        <v>42998.86787037037</v>
      </c>
    </row>
    <row r="1031" spans="2:15" x14ac:dyDescent="0.25">
      <c r="B1031" s="36" t="s">
        <v>3098</v>
      </c>
      <c r="C1031" s="35" t="s">
        <v>982</v>
      </c>
      <c r="D1031" s="36" t="s">
        <v>2009</v>
      </c>
      <c r="E1031" s="37">
        <v>6.4000000000000001E-7</v>
      </c>
      <c r="F1031" s="38">
        <v>2.54171E-3</v>
      </c>
      <c r="G1031" s="39">
        <v>16.270600000000002</v>
      </c>
      <c r="H1031" s="39"/>
      <c r="I1031" s="40"/>
      <c r="J1031" s="40">
        <v>24523275</v>
      </c>
      <c r="K1031" s="46">
        <v>-0.05</v>
      </c>
      <c r="L1031" s="46">
        <v>-1.1499999999999999</v>
      </c>
      <c r="M1031" s="46">
        <v>10.08</v>
      </c>
      <c r="N1031" s="36">
        <v>1027</v>
      </c>
      <c r="O1031" s="41">
        <v>42998.867835648147</v>
      </c>
    </row>
    <row r="1032" spans="2:15" x14ac:dyDescent="0.25">
      <c r="B1032" s="36" t="s">
        <v>3065</v>
      </c>
      <c r="C1032" s="35" t="s">
        <v>971</v>
      </c>
      <c r="D1032" s="36" t="s">
        <v>1879</v>
      </c>
      <c r="E1032" s="37">
        <v>8.2910000000000004E-5</v>
      </c>
      <c r="F1032" s="38">
        <v>0.32927099999999998</v>
      </c>
      <c r="G1032" s="39">
        <v>15.4757</v>
      </c>
      <c r="H1032" s="39"/>
      <c r="I1032" s="40"/>
      <c r="J1032" s="40"/>
      <c r="K1032" s="46">
        <v>-0.05</v>
      </c>
      <c r="L1032" s="46">
        <v>-5.36</v>
      </c>
      <c r="M1032" s="46">
        <v>81.02</v>
      </c>
      <c r="N1032" s="36">
        <v>1028</v>
      </c>
      <c r="O1032" s="41">
        <v>42998.867395833331</v>
      </c>
    </row>
    <row r="1033" spans="2:15" x14ac:dyDescent="0.25">
      <c r="B1033" s="36" t="s">
        <v>3112</v>
      </c>
      <c r="C1033" s="35" t="s">
        <v>1010</v>
      </c>
      <c r="D1033" s="36" t="s">
        <v>2036</v>
      </c>
      <c r="E1033" s="37">
        <v>1.9099999999999999E-6</v>
      </c>
      <c r="F1033" s="38">
        <v>7.5854299999999998E-3</v>
      </c>
      <c r="G1033" s="39">
        <v>15.239800000000001</v>
      </c>
      <c r="H1033" s="39"/>
      <c r="I1033" s="40"/>
      <c r="J1033" s="40"/>
      <c r="K1033" s="46">
        <v>-0.05</v>
      </c>
      <c r="L1033" s="46">
        <v>1.36</v>
      </c>
      <c r="M1033" s="46">
        <v>1.82</v>
      </c>
      <c r="N1033" s="36">
        <v>1029</v>
      </c>
      <c r="O1033" s="41">
        <v>42998.867615740739</v>
      </c>
    </row>
    <row r="1034" spans="2:15" x14ac:dyDescent="0.25">
      <c r="B1034" s="36" t="s">
        <v>3120</v>
      </c>
      <c r="C1034" s="35" t="s">
        <v>1009</v>
      </c>
      <c r="D1034" s="36" t="s">
        <v>2035</v>
      </c>
      <c r="E1034" s="37">
        <v>6.4300000000000003E-6</v>
      </c>
      <c r="F1034" s="38">
        <v>2.5536300000000001E-2</v>
      </c>
      <c r="G1034" s="39">
        <v>14.9587</v>
      </c>
      <c r="H1034" s="39"/>
      <c r="I1034" s="40"/>
      <c r="J1034" s="40"/>
      <c r="K1034" s="46">
        <v>-0.05</v>
      </c>
      <c r="L1034" s="46">
        <v>5.61</v>
      </c>
      <c r="M1034" s="46">
        <v>-2.91</v>
      </c>
      <c r="N1034" s="36">
        <v>1030</v>
      </c>
      <c r="O1034" s="41">
        <v>42998.867893518516</v>
      </c>
    </row>
    <row r="1035" spans="2:15" x14ac:dyDescent="0.25">
      <c r="B1035" s="36" t="s">
        <v>3034</v>
      </c>
      <c r="C1035" s="35" t="s">
        <v>978</v>
      </c>
      <c r="D1035" s="36" t="s">
        <v>2006</v>
      </c>
      <c r="E1035" s="37">
        <v>2E-8</v>
      </c>
      <c r="F1035" s="42">
        <v>7.7061100000000007E-5</v>
      </c>
      <c r="G1035" s="39">
        <v>13.829000000000001</v>
      </c>
      <c r="H1035" s="39"/>
      <c r="I1035" s="40"/>
      <c r="J1035" s="40"/>
      <c r="K1035" s="46">
        <v>-0.12</v>
      </c>
      <c r="L1035" s="46">
        <v>-60.09</v>
      </c>
      <c r="M1035" s="46">
        <v>-26.01</v>
      </c>
      <c r="N1035" s="36">
        <v>1031</v>
      </c>
      <c r="O1035" s="41">
        <v>42998.867731481485</v>
      </c>
    </row>
    <row r="1036" spans="2:15" x14ac:dyDescent="0.25">
      <c r="B1036" s="36" t="s">
        <v>3078</v>
      </c>
      <c r="C1036" s="35" t="s">
        <v>973</v>
      </c>
      <c r="D1036" s="36" t="s">
        <v>2001</v>
      </c>
      <c r="E1036" s="37">
        <v>5.0999999999999999E-7</v>
      </c>
      <c r="F1036" s="38">
        <v>2.02484E-3</v>
      </c>
      <c r="G1036" s="39">
        <v>13.6425</v>
      </c>
      <c r="H1036" s="39"/>
      <c r="I1036" s="40"/>
      <c r="J1036" s="40"/>
      <c r="K1036" s="46">
        <v>-7.0000000000000007E-2</v>
      </c>
      <c r="L1036" s="46">
        <v>-3.03</v>
      </c>
      <c r="M1036" s="46">
        <v>-1.31</v>
      </c>
      <c r="N1036" s="36">
        <v>1032</v>
      </c>
      <c r="O1036" s="41">
        <v>42998.867696759262</v>
      </c>
    </row>
    <row r="1037" spans="2:15" x14ac:dyDescent="0.25">
      <c r="B1037" s="36" t="s">
        <v>3122</v>
      </c>
      <c r="C1037" s="35" t="s">
        <v>980</v>
      </c>
      <c r="D1037" s="36" t="s">
        <v>2008</v>
      </c>
      <c r="E1037" s="37">
        <v>2E-8</v>
      </c>
      <c r="F1037" s="38">
        <v>7.94286E-5</v>
      </c>
      <c r="G1037" s="39">
        <v>13.377800000000001</v>
      </c>
      <c r="H1037" s="39"/>
      <c r="I1037" s="40"/>
      <c r="J1037" s="40"/>
      <c r="K1037" s="46">
        <v>-0.05</v>
      </c>
      <c r="L1037" s="46">
        <v>28.28</v>
      </c>
      <c r="M1037" s="46">
        <v>39.96</v>
      </c>
      <c r="N1037" s="36">
        <v>1033</v>
      </c>
      <c r="O1037" s="41">
        <v>42998.867835648147</v>
      </c>
    </row>
    <row r="1038" spans="2:15" x14ac:dyDescent="0.25">
      <c r="B1038" s="36" t="s">
        <v>3081</v>
      </c>
      <c r="C1038" s="35" t="s">
        <v>1044</v>
      </c>
      <c r="D1038" s="36" t="s">
        <v>2068</v>
      </c>
      <c r="E1038" s="37">
        <v>1E-8</v>
      </c>
      <c r="F1038" s="38">
        <v>3.97143E-5</v>
      </c>
      <c r="G1038" s="39">
        <v>13.0197</v>
      </c>
      <c r="H1038" s="39"/>
      <c r="I1038" s="40"/>
      <c r="J1038" s="40"/>
      <c r="K1038" s="46">
        <v>-0.05</v>
      </c>
      <c r="L1038" s="46">
        <v>1.51</v>
      </c>
      <c r="M1038" s="46">
        <v>1.92</v>
      </c>
      <c r="N1038" s="36">
        <v>1034</v>
      </c>
      <c r="O1038" s="41">
        <v>42998.867731481485</v>
      </c>
    </row>
    <row r="1039" spans="2:15" x14ac:dyDescent="0.25">
      <c r="B1039" s="36" t="s">
        <v>3121</v>
      </c>
      <c r="C1039" s="35" t="s">
        <v>985</v>
      </c>
      <c r="D1039" s="36" t="s">
        <v>2012</v>
      </c>
      <c r="E1039" s="37">
        <v>1.44E-6</v>
      </c>
      <c r="F1039" s="38">
        <v>5.7002099999999998E-3</v>
      </c>
      <c r="G1039" s="39">
        <v>12.0922</v>
      </c>
      <c r="H1039" s="39"/>
      <c r="I1039" s="40"/>
      <c r="J1039" s="40">
        <v>6682881</v>
      </c>
      <c r="K1039" s="46">
        <v>-1.35</v>
      </c>
      <c r="L1039" s="46">
        <v>-1.07</v>
      </c>
      <c r="M1039" s="46">
        <v>-23.64</v>
      </c>
      <c r="N1039" s="36">
        <v>1035</v>
      </c>
      <c r="O1039" s="41">
        <v>42998.867881944447</v>
      </c>
    </row>
    <row r="1040" spans="2:15" x14ac:dyDescent="0.25">
      <c r="B1040" s="36" t="s">
        <v>3158</v>
      </c>
      <c r="C1040" s="35" t="s">
        <v>1029</v>
      </c>
      <c r="D1040" s="36" t="s">
        <v>2055</v>
      </c>
      <c r="E1040" s="37">
        <v>5.2E-7</v>
      </c>
      <c r="F1040" s="38">
        <v>2.06514E-3</v>
      </c>
      <c r="G1040" s="39">
        <v>9.5266999999999999</v>
      </c>
      <c r="H1040" s="39"/>
      <c r="I1040" s="40"/>
      <c r="J1040" s="40"/>
      <c r="K1040" s="46">
        <v>-0.05</v>
      </c>
      <c r="L1040" s="46"/>
      <c r="M1040" s="46"/>
      <c r="N1040" s="36">
        <v>1036</v>
      </c>
      <c r="O1040" s="41">
        <v>42998.867662037039</v>
      </c>
    </row>
    <row r="1041" spans="2:15" x14ac:dyDescent="0.25">
      <c r="B1041" s="36" t="s">
        <v>3021</v>
      </c>
      <c r="C1041" s="35" t="s">
        <v>936</v>
      </c>
      <c r="D1041" s="36" t="s">
        <v>1966</v>
      </c>
      <c r="E1041" s="37">
        <v>1.2899999999999999E-6</v>
      </c>
      <c r="F1041" s="38">
        <v>5.12314E-3</v>
      </c>
      <c r="G1041" s="39">
        <v>8.8070000000000004</v>
      </c>
      <c r="H1041" s="39"/>
      <c r="I1041" s="40"/>
      <c r="J1041" s="40">
        <v>31411973669</v>
      </c>
      <c r="K1041" s="46">
        <v>-0.05</v>
      </c>
      <c r="L1041" s="46">
        <v>4.96</v>
      </c>
      <c r="M1041" s="46">
        <v>-21.9</v>
      </c>
      <c r="N1041" s="36">
        <v>1037</v>
      </c>
      <c r="O1041" s="41">
        <v>42998.86787037037</v>
      </c>
    </row>
    <row r="1042" spans="2:15" x14ac:dyDescent="0.25">
      <c r="B1042" s="36" t="s">
        <v>3045</v>
      </c>
      <c r="C1042" s="35" t="s">
        <v>914</v>
      </c>
      <c r="D1042" s="36" t="s">
        <v>1868</v>
      </c>
      <c r="E1042" s="37">
        <v>9.9999999999999995E-8</v>
      </c>
      <c r="F1042" s="38">
        <v>3.9714299999999998E-4</v>
      </c>
      <c r="G1042" s="39">
        <v>8.7496500000000008</v>
      </c>
      <c r="H1042" s="39"/>
      <c r="I1042" s="40"/>
      <c r="J1042" s="40"/>
      <c r="K1042" s="46">
        <v>-0.05</v>
      </c>
      <c r="L1042" s="46">
        <v>12.78</v>
      </c>
      <c r="M1042" s="46">
        <v>32.619999999999997</v>
      </c>
      <c r="N1042" s="36">
        <v>1038</v>
      </c>
      <c r="O1042" s="41">
        <v>42998.867719907408</v>
      </c>
    </row>
    <row r="1043" spans="2:15" x14ac:dyDescent="0.25">
      <c r="B1043" s="36" t="s">
        <v>3142</v>
      </c>
      <c r="C1043" s="35" t="s">
        <v>1032</v>
      </c>
      <c r="D1043" s="36" t="s">
        <v>2058</v>
      </c>
      <c r="E1043" s="37">
        <v>1.22E-6</v>
      </c>
      <c r="F1043" s="38">
        <v>4.8451400000000004E-3</v>
      </c>
      <c r="G1043" s="39">
        <v>8.1374600000000008</v>
      </c>
      <c r="H1043" s="39"/>
      <c r="I1043" s="40"/>
      <c r="J1043" s="40"/>
      <c r="K1043" s="46">
        <v>-0.05</v>
      </c>
      <c r="L1043" s="46">
        <v>3.19</v>
      </c>
      <c r="M1043" s="46">
        <v>-1.5</v>
      </c>
      <c r="N1043" s="36">
        <v>1039</v>
      </c>
      <c r="O1043" s="41">
        <v>42998.8675</v>
      </c>
    </row>
    <row r="1044" spans="2:15" x14ac:dyDescent="0.25">
      <c r="B1044" s="36" t="s">
        <v>3038</v>
      </c>
      <c r="C1044" s="35" t="s">
        <v>934</v>
      </c>
      <c r="D1044" s="36" t="s">
        <v>1964</v>
      </c>
      <c r="E1044" s="37">
        <v>2.0200000000000001E-6</v>
      </c>
      <c r="F1044" s="38">
        <v>8.0222899999999996E-3</v>
      </c>
      <c r="G1044" s="39">
        <v>7.9547299999999996</v>
      </c>
      <c r="H1044" s="39"/>
      <c r="I1044" s="40"/>
      <c r="J1044" s="40">
        <v>9251805</v>
      </c>
      <c r="K1044" s="46">
        <v>-0.05</v>
      </c>
      <c r="L1044" s="46">
        <v>-7.88</v>
      </c>
      <c r="M1044" s="46">
        <v>-7.79</v>
      </c>
      <c r="N1044" s="36">
        <v>1040</v>
      </c>
      <c r="O1044" s="41">
        <v>42998.867685185185</v>
      </c>
    </row>
    <row r="1045" spans="2:15" x14ac:dyDescent="0.25">
      <c r="B1045" s="36" t="s">
        <v>3085</v>
      </c>
      <c r="C1045" s="35" t="s">
        <v>937</v>
      </c>
      <c r="D1045" s="36" t="s">
        <v>1967</v>
      </c>
      <c r="E1045" s="37">
        <v>5.9999999999999995E-8</v>
      </c>
      <c r="F1045" s="38">
        <v>2.3828599999999999E-4</v>
      </c>
      <c r="G1045" s="39">
        <v>7.6838199999999999</v>
      </c>
      <c r="H1045" s="39"/>
      <c r="I1045" s="40"/>
      <c r="J1045" s="40"/>
      <c r="K1045" s="46">
        <v>-0.05</v>
      </c>
      <c r="L1045" s="46">
        <v>1.51</v>
      </c>
      <c r="M1045" s="46">
        <v>-5.71</v>
      </c>
      <c r="N1045" s="36">
        <v>1041</v>
      </c>
      <c r="O1045" s="41">
        <v>42998.867893518516</v>
      </c>
    </row>
    <row r="1046" spans="2:15" x14ac:dyDescent="0.25">
      <c r="B1046" s="36" t="s">
        <v>3060</v>
      </c>
      <c r="C1046" s="35" t="s">
        <v>994</v>
      </c>
      <c r="D1046" s="36" t="s">
        <v>2021</v>
      </c>
      <c r="E1046" s="36">
        <v>8.5000000000000001E-7</v>
      </c>
      <c r="F1046" s="36">
        <v>3.37572E-3</v>
      </c>
      <c r="G1046" s="36">
        <v>6.0935600000000001</v>
      </c>
      <c r="I1046" s="40"/>
      <c r="J1046" s="40"/>
      <c r="K1046" s="46">
        <v>-0.1</v>
      </c>
      <c r="L1046" s="46">
        <v>5.88</v>
      </c>
      <c r="M1046" s="46">
        <v>48.5</v>
      </c>
      <c r="N1046" s="36">
        <v>1042</v>
      </c>
      <c r="O1046" s="41">
        <v>42998.867719907408</v>
      </c>
    </row>
    <row r="1047" spans="2:15" x14ac:dyDescent="0.25">
      <c r="B1047" s="36" t="s">
        <v>3168</v>
      </c>
      <c r="C1047" s="35" t="s">
        <v>1056</v>
      </c>
      <c r="D1047" s="36" t="s">
        <v>2079</v>
      </c>
      <c r="E1047" s="37">
        <v>1E-8</v>
      </c>
      <c r="F1047" s="38">
        <v>3.97143E-5</v>
      </c>
      <c r="G1047" s="39">
        <v>5.9571399999999999</v>
      </c>
      <c r="H1047" s="39"/>
      <c r="I1047" s="40"/>
      <c r="J1047" s="40"/>
      <c r="K1047" s="46">
        <v>-0.05</v>
      </c>
      <c r="L1047" s="46">
        <v>1.5</v>
      </c>
      <c r="M1047" s="46">
        <v>1.92</v>
      </c>
      <c r="N1047" s="36">
        <v>1043</v>
      </c>
      <c r="O1047" s="41">
        <v>42998.867650462962</v>
      </c>
    </row>
    <row r="1048" spans="2:15" x14ac:dyDescent="0.25">
      <c r="B1048" s="36" t="s">
        <v>3036</v>
      </c>
      <c r="C1048" s="35" t="s">
        <v>1024</v>
      </c>
      <c r="D1048" s="36" t="s">
        <v>2050</v>
      </c>
      <c r="E1048" s="37">
        <v>1E-8</v>
      </c>
      <c r="F1048" s="38">
        <v>3.97143E-5</v>
      </c>
      <c r="G1048" s="39">
        <v>5.9571399999999999</v>
      </c>
      <c r="H1048" s="39"/>
      <c r="I1048" s="40"/>
      <c r="J1048" s="40">
        <v>77416834065</v>
      </c>
      <c r="K1048" s="46">
        <v>-0.05</v>
      </c>
      <c r="L1048" s="46">
        <v>1.51</v>
      </c>
      <c r="M1048" s="46">
        <v>1.9</v>
      </c>
      <c r="N1048" s="36">
        <v>1044</v>
      </c>
      <c r="O1048" s="41">
        <v>42998.867442129631</v>
      </c>
    </row>
    <row r="1049" spans="2:15" x14ac:dyDescent="0.25">
      <c r="B1049" s="36" t="s">
        <v>3053</v>
      </c>
      <c r="C1049" s="35" t="s">
        <v>949</v>
      </c>
      <c r="D1049" s="36" t="s">
        <v>1979</v>
      </c>
      <c r="E1049" s="37">
        <v>1E-8</v>
      </c>
      <c r="F1049" s="38">
        <v>3.97143E-5</v>
      </c>
      <c r="G1049" s="39">
        <v>5.9571399999999999</v>
      </c>
      <c r="H1049" s="39"/>
      <c r="I1049" s="40"/>
      <c r="J1049" s="40"/>
      <c r="K1049" s="46">
        <v>-0.05</v>
      </c>
      <c r="L1049" s="46">
        <v>-36.32</v>
      </c>
      <c r="M1049" s="46">
        <v>-0.87</v>
      </c>
      <c r="N1049" s="36">
        <v>1045</v>
      </c>
      <c r="O1049" s="41">
        <v>42998.867847222224</v>
      </c>
    </row>
    <row r="1050" spans="2:15" x14ac:dyDescent="0.25">
      <c r="B1050" s="36" t="s">
        <v>3161</v>
      </c>
      <c r="C1050" s="35" t="s">
        <v>1007</v>
      </c>
      <c r="D1050" s="36" t="s">
        <v>2034</v>
      </c>
      <c r="E1050" s="37">
        <v>2.8999999999999998E-7</v>
      </c>
      <c r="F1050" s="38">
        <v>1.15171E-3</v>
      </c>
      <c r="G1050" s="39">
        <v>5.7585699999999997</v>
      </c>
      <c r="H1050" s="39"/>
      <c r="I1050" s="40"/>
      <c r="J1050" s="40">
        <v>36309296</v>
      </c>
      <c r="K1050" s="46">
        <v>-0.1</v>
      </c>
      <c r="L1050" s="46">
        <v>1.73</v>
      </c>
      <c r="M1050" s="46">
        <v>86.2</v>
      </c>
      <c r="N1050" s="36">
        <v>1046</v>
      </c>
      <c r="O1050" s="41">
        <v>42998.867685185185</v>
      </c>
    </row>
    <row r="1051" spans="2:15" x14ac:dyDescent="0.25">
      <c r="B1051" s="36" t="s">
        <v>3017</v>
      </c>
      <c r="C1051" s="35" t="s">
        <v>904</v>
      </c>
      <c r="D1051" s="36" t="s">
        <v>1938</v>
      </c>
      <c r="E1051" s="37">
        <v>7.0000000000000005E-8</v>
      </c>
      <c r="F1051" s="38">
        <v>2.7799999999999998E-4</v>
      </c>
      <c r="G1051" s="39">
        <v>5.6910999999999996</v>
      </c>
      <c r="H1051" s="39"/>
      <c r="I1051" s="40"/>
      <c r="J1051" s="40"/>
      <c r="K1051" s="46">
        <v>-0.05</v>
      </c>
      <c r="L1051" s="46">
        <v>1.32</v>
      </c>
      <c r="M1051" s="46">
        <v>1.92</v>
      </c>
      <c r="N1051" s="36">
        <v>1047</v>
      </c>
      <c r="O1051" s="41">
        <v>42998.867638888885</v>
      </c>
    </row>
    <row r="1052" spans="2:15" x14ac:dyDescent="0.25">
      <c r="B1052" s="36" t="s">
        <v>3173</v>
      </c>
      <c r="C1052" s="35" t="s">
        <v>1066</v>
      </c>
      <c r="D1052" s="36" t="s">
        <v>2089</v>
      </c>
      <c r="E1052" s="37">
        <v>4.7899999999999999E-6</v>
      </c>
      <c r="F1052" s="38">
        <v>1.9023100000000001E-2</v>
      </c>
      <c r="G1052" s="39">
        <v>5.5540000000000003</v>
      </c>
      <c r="H1052" s="39"/>
      <c r="I1052" s="40"/>
      <c r="J1052" s="40"/>
      <c r="K1052" s="46">
        <v>-0.05</v>
      </c>
      <c r="L1052" s="46"/>
      <c r="M1052" s="46">
        <v>-24.61</v>
      </c>
      <c r="N1052" s="36">
        <v>1048</v>
      </c>
      <c r="O1052" s="41">
        <v>42998.867592592593</v>
      </c>
    </row>
    <row r="1053" spans="2:15" x14ac:dyDescent="0.25">
      <c r="B1053" s="36" t="s">
        <v>3113</v>
      </c>
      <c r="C1053" s="35" t="s">
        <v>1011</v>
      </c>
      <c r="D1053" s="36" t="s">
        <v>2037</v>
      </c>
      <c r="E1053" s="37">
        <v>2.9999999999999999E-7</v>
      </c>
      <c r="F1053" s="38">
        <v>1.19143E-3</v>
      </c>
      <c r="G1053" s="39">
        <v>4.8017099999999999</v>
      </c>
      <c r="H1053" s="39"/>
      <c r="I1053" s="40"/>
      <c r="J1053" s="40">
        <v>37024500</v>
      </c>
      <c r="K1053" s="46">
        <v>-0.05</v>
      </c>
      <c r="L1053" s="46">
        <v>10.62</v>
      </c>
      <c r="M1053" s="46">
        <v>9.1999999999999993</v>
      </c>
      <c r="N1053" s="36">
        <v>1049</v>
      </c>
      <c r="O1053" s="41">
        <v>42998.867881944447</v>
      </c>
    </row>
    <row r="1054" spans="2:15" x14ac:dyDescent="0.25">
      <c r="B1054" s="36" t="s">
        <v>3175</v>
      </c>
      <c r="C1054" s="35" t="s">
        <v>955</v>
      </c>
      <c r="D1054" s="36" t="s">
        <v>1984</v>
      </c>
      <c r="E1054" s="37">
        <v>2.1E-7</v>
      </c>
      <c r="F1054" s="38">
        <v>8.34E-4</v>
      </c>
      <c r="G1054" s="39">
        <v>4.5088800000000004</v>
      </c>
      <c r="H1054" s="39"/>
      <c r="I1054" s="40"/>
      <c r="J1054" s="40"/>
      <c r="K1054" s="46">
        <v>-0.05</v>
      </c>
      <c r="L1054" s="46">
        <v>23.81</v>
      </c>
      <c r="M1054" s="46">
        <v>18.91</v>
      </c>
      <c r="N1054" s="36">
        <v>1050</v>
      </c>
      <c r="O1054" s="41">
        <v>42998.867696759262</v>
      </c>
    </row>
    <row r="1055" spans="2:15" x14ac:dyDescent="0.25">
      <c r="B1055" s="36" t="s">
        <v>3123</v>
      </c>
      <c r="C1055" s="35" t="s">
        <v>1008</v>
      </c>
      <c r="D1055" s="36" t="s">
        <v>1253</v>
      </c>
      <c r="E1055" s="37">
        <v>2.0700000000000001E-6</v>
      </c>
      <c r="F1055" s="38">
        <v>8.22086E-3</v>
      </c>
      <c r="G1055" s="39">
        <v>4.0751600000000003</v>
      </c>
      <c r="H1055" s="39"/>
      <c r="I1055" s="40"/>
      <c r="J1055" s="40"/>
      <c r="K1055" s="46">
        <v>-0.12</v>
      </c>
      <c r="L1055" s="46">
        <v>-37.479999999999997</v>
      </c>
      <c r="M1055" s="46">
        <v>510.13</v>
      </c>
      <c r="N1055" s="36">
        <v>1051</v>
      </c>
      <c r="O1055" s="41">
        <v>42998.867407407408</v>
      </c>
    </row>
    <row r="1056" spans="2:15" x14ac:dyDescent="0.25">
      <c r="B1056" s="36" t="s">
        <v>3093</v>
      </c>
      <c r="C1056" s="35" t="s">
        <v>1047</v>
      </c>
      <c r="D1056" s="36" t="s">
        <v>2071</v>
      </c>
      <c r="E1056" s="37">
        <v>4.6704E-4</v>
      </c>
      <c r="F1056" s="38">
        <v>1.85347</v>
      </c>
      <c r="G1056" s="39">
        <v>3.9785400000000002</v>
      </c>
      <c r="H1056" s="39"/>
      <c r="I1056" s="40"/>
      <c r="J1056" s="40">
        <v>21000000</v>
      </c>
      <c r="K1056" s="46">
        <v>-0.01</v>
      </c>
      <c r="L1056" s="46">
        <v>1.43</v>
      </c>
      <c r="M1056" s="46">
        <v>2.6</v>
      </c>
      <c r="N1056" s="36">
        <v>1052</v>
      </c>
      <c r="O1056" s="41">
        <v>42998.864502314813</v>
      </c>
    </row>
    <row r="1057" spans="2:15" x14ac:dyDescent="0.25">
      <c r="B1057" s="36" t="s">
        <v>3145</v>
      </c>
      <c r="C1057" s="35" t="s">
        <v>1014</v>
      </c>
      <c r="D1057" s="36" t="s">
        <v>2040</v>
      </c>
      <c r="E1057" s="37">
        <v>4.9999999999999998E-8</v>
      </c>
      <c r="F1057" s="38">
        <v>1.9857100000000001E-4</v>
      </c>
      <c r="G1057" s="39">
        <v>3.84192</v>
      </c>
      <c r="H1057" s="39"/>
      <c r="I1057" s="40"/>
      <c r="J1057" s="40"/>
      <c r="K1057" s="46">
        <v>-0.05</v>
      </c>
      <c r="L1057" s="46">
        <v>1.51</v>
      </c>
      <c r="M1057" s="46">
        <v>-17.600000000000001</v>
      </c>
      <c r="N1057" s="36">
        <v>1053</v>
      </c>
      <c r="O1057" s="41">
        <v>42998.867893518516</v>
      </c>
    </row>
    <row r="1058" spans="2:15" x14ac:dyDescent="0.25">
      <c r="B1058" s="36" t="s">
        <v>3110</v>
      </c>
      <c r="C1058" s="35" t="s">
        <v>991</v>
      </c>
      <c r="D1058" s="36" t="s">
        <v>2018</v>
      </c>
      <c r="E1058" s="37">
        <v>4.0999999999999999E-7</v>
      </c>
      <c r="F1058" s="38">
        <v>1.6400200000000001E-3</v>
      </c>
      <c r="G1058" s="39">
        <v>3.5948099999999998</v>
      </c>
      <c r="H1058" s="39"/>
      <c r="I1058" s="40"/>
      <c r="J1058" s="40"/>
      <c r="K1058" s="46">
        <v>0.95</v>
      </c>
      <c r="L1058" s="46">
        <v>1.02</v>
      </c>
      <c r="M1058" s="46">
        <v>7.91</v>
      </c>
      <c r="N1058" s="36">
        <v>1054</v>
      </c>
      <c r="O1058" s="41">
        <v>42998.867766203701</v>
      </c>
    </row>
    <row r="1059" spans="2:15" x14ac:dyDescent="0.25">
      <c r="B1059" s="36" t="s">
        <v>3109</v>
      </c>
      <c r="C1059" s="35" t="s">
        <v>962</v>
      </c>
      <c r="D1059" s="36" t="s">
        <v>1991</v>
      </c>
      <c r="E1059" s="37">
        <v>2.2000000000000001E-7</v>
      </c>
      <c r="F1059" s="38">
        <v>8.7371400000000004E-4</v>
      </c>
      <c r="G1059" s="39">
        <v>3.33135</v>
      </c>
      <c r="H1059" s="39"/>
      <c r="I1059" s="40"/>
      <c r="J1059" s="40"/>
      <c r="K1059" s="46">
        <v>-0.05</v>
      </c>
      <c r="L1059" s="46">
        <v>-2.2000000000000002</v>
      </c>
      <c r="M1059" s="46">
        <v>-18.46</v>
      </c>
      <c r="N1059" s="36">
        <v>1055</v>
      </c>
      <c r="O1059" s="41">
        <v>42998.867928240739</v>
      </c>
    </row>
    <row r="1060" spans="2:15" x14ac:dyDescent="0.25">
      <c r="B1060" s="36" t="s">
        <v>3104</v>
      </c>
      <c r="C1060" s="35" t="s">
        <v>961</v>
      </c>
      <c r="D1060" s="36" t="s">
        <v>1990</v>
      </c>
      <c r="E1060" s="37">
        <v>4.4999999999999998E-7</v>
      </c>
      <c r="F1060" s="38">
        <v>1.78714E-3</v>
      </c>
      <c r="G1060" s="39">
        <v>3.2545899999999999</v>
      </c>
      <c r="H1060" s="39"/>
      <c r="I1060" s="40"/>
      <c r="J1060" s="40">
        <v>2500124</v>
      </c>
      <c r="K1060" s="46">
        <v>-0.05</v>
      </c>
      <c r="L1060" s="46"/>
      <c r="M1060" s="46">
        <v>-14.48</v>
      </c>
      <c r="N1060" s="36">
        <v>1056</v>
      </c>
      <c r="O1060" s="41">
        <v>42998.867766203701</v>
      </c>
    </row>
    <row r="1061" spans="2:15" x14ac:dyDescent="0.25">
      <c r="B1061" s="36" t="s">
        <v>3115</v>
      </c>
      <c r="C1061" s="35" t="s">
        <v>1017</v>
      </c>
      <c r="D1061" s="36" t="s">
        <v>2043</v>
      </c>
      <c r="E1061" s="37">
        <v>2.7000000000000001E-7</v>
      </c>
      <c r="F1061" s="38">
        <v>1.07229E-3</v>
      </c>
      <c r="G1061" s="39">
        <v>3.2168600000000001</v>
      </c>
      <c r="H1061" s="39"/>
      <c r="I1061" s="40"/>
      <c r="J1061" s="40"/>
      <c r="K1061" s="46"/>
      <c r="L1061" s="46">
        <v>1.5</v>
      </c>
      <c r="M1061" s="46">
        <v>19.649999999999999</v>
      </c>
      <c r="N1061" s="36">
        <v>1057</v>
      </c>
      <c r="O1061" s="41">
        <v>42998.867650462962</v>
      </c>
    </row>
    <row r="1062" spans="2:15" x14ac:dyDescent="0.25">
      <c r="B1062" s="36" t="s">
        <v>3046</v>
      </c>
      <c r="C1062" s="35" t="s">
        <v>938</v>
      </c>
      <c r="D1062" s="36" t="s">
        <v>1968</v>
      </c>
      <c r="E1062" s="37">
        <v>3.5219999999999998E-5</v>
      </c>
      <c r="F1062" s="38">
        <v>0.13986899999999999</v>
      </c>
      <c r="G1062" s="39">
        <v>2.65333</v>
      </c>
      <c r="H1062" s="39"/>
      <c r="I1062" s="40"/>
      <c r="J1062" s="40">
        <v>18446748239</v>
      </c>
      <c r="K1062" s="46">
        <v>-0.34</v>
      </c>
      <c r="L1062" s="46">
        <v>186.91</v>
      </c>
      <c r="M1062" s="46">
        <v>187.16</v>
      </c>
      <c r="N1062" s="36">
        <v>1058</v>
      </c>
      <c r="O1062" s="41">
        <v>42998.868009259262</v>
      </c>
    </row>
    <row r="1063" spans="2:15" x14ac:dyDescent="0.25">
      <c r="B1063" s="36" t="s">
        <v>3101</v>
      </c>
      <c r="C1063" s="35" t="s">
        <v>1000</v>
      </c>
      <c r="D1063" s="36" t="s">
        <v>2027</v>
      </c>
      <c r="E1063" s="37">
        <v>1.6E-7</v>
      </c>
      <c r="F1063" s="38">
        <v>6.3542899999999996E-4</v>
      </c>
      <c r="G1063" s="39">
        <v>2.4668899999999998</v>
      </c>
      <c r="H1063" s="39"/>
      <c r="I1063" s="40"/>
      <c r="J1063" s="40">
        <v>190008300</v>
      </c>
      <c r="K1063" s="46">
        <v>-0.05</v>
      </c>
      <c r="L1063" s="46">
        <v>1.51</v>
      </c>
      <c r="M1063" s="46">
        <v>-41.88</v>
      </c>
      <c r="N1063" s="36">
        <v>1059</v>
      </c>
      <c r="O1063" s="41">
        <v>42998.867881944447</v>
      </c>
    </row>
    <row r="1064" spans="2:15" x14ac:dyDescent="0.25">
      <c r="B1064" s="36" t="s">
        <v>3054</v>
      </c>
      <c r="C1064" s="35" t="s">
        <v>966</v>
      </c>
      <c r="D1064" s="36" t="s">
        <v>1995</v>
      </c>
      <c r="E1064" s="37">
        <v>4.9999999999999998E-8</v>
      </c>
      <c r="F1064" s="38">
        <v>1.9857100000000001E-4</v>
      </c>
      <c r="G1064" s="39">
        <v>1.98567</v>
      </c>
      <c r="H1064" s="39"/>
      <c r="I1064" s="40"/>
      <c r="J1064" s="40"/>
      <c r="K1064" s="46">
        <v>-0.05</v>
      </c>
      <c r="L1064" s="46"/>
      <c r="M1064" s="46">
        <v>-27.21</v>
      </c>
      <c r="N1064" s="36">
        <v>1060</v>
      </c>
      <c r="O1064" s="41">
        <v>42998.867743055554</v>
      </c>
    </row>
    <row r="1065" spans="2:15" x14ac:dyDescent="0.25">
      <c r="B1065" s="36" t="s">
        <v>3077</v>
      </c>
      <c r="C1065" s="35" t="s">
        <v>960</v>
      </c>
      <c r="D1065" s="36" t="s">
        <v>1989</v>
      </c>
      <c r="E1065" s="37">
        <v>6.3500000000000002E-6</v>
      </c>
      <c r="F1065" s="38">
        <v>2.5218600000000001E-2</v>
      </c>
      <c r="G1065" s="39">
        <v>1.87602</v>
      </c>
      <c r="H1065" s="39"/>
      <c r="I1065" s="40"/>
      <c r="J1065" s="40"/>
      <c r="K1065" s="46">
        <v>-0.05</v>
      </c>
      <c r="L1065" s="46">
        <v>-33.96</v>
      </c>
      <c r="M1065" s="46">
        <v>30.41</v>
      </c>
      <c r="N1065" s="36">
        <v>1061</v>
      </c>
      <c r="O1065" s="41">
        <v>42998.867488425924</v>
      </c>
    </row>
    <row r="1066" spans="2:15" x14ac:dyDescent="0.25">
      <c r="B1066" s="36" t="s">
        <v>3088</v>
      </c>
      <c r="C1066" s="35" t="s">
        <v>948</v>
      </c>
      <c r="D1066" s="36" t="s">
        <v>1978</v>
      </c>
      <c r="E1066" s="37">
        <v>1.4999999999999999E-7</v>
      </c>
      <c r="F1066" s="38">
        <v>5.9571400000000001E-4</v>
      </c>
      <c r="G1066" s="39">
        <v>1.7756700000000001</v>
      </c>
      <c r="H1066" s="39"/>
      <c r="I1066" s="40"/>
      <c r="J1066" s="40"/>
      <c r="K1066" s="46">
        <v>-16.7</v>
      </c>
      <c r="L1066" s="46">
        <v>-15.41</v>
      </c>
      <c r="M1066" s="46">
        <v>-18.29</v>
      </c>
      <c r="N1066" s="36">
        <v>1062</v>
      </c>
      <c r="O1066" s="41">
        <v>42998.867465277777</v>
      </c>
    </row>
    <row r="1067" spans="2:15" x14ac:dyDescent="0.25">
      <c r="B1067" s="36" t="s">
        <v>3139</v>
      </c>
      <c r="C1067" s="35" t="s">
        <v>1015</v>
      </c>
      <c r="D1067" s="36" t="s">
        <v>2041</v>
      </c>
      <c r="E1067" s="37">
        <v>1.8E-7</v>
      </c>
      <c r="F1067" s="38">
        <v>7.1485699999999995E-4</v>
      </c>
      <c r="G1067" s="39">
        <v>1.2020299999999999</v>
      </c>
      <c r="H1067" s="39"/>
      <c r="I1067" s="40"/>
      <c r="J1067" s="40"/>
      <c r="K1067" s="46">
        <v>0.27</v>
      </c>
      <c r="L1067" s="46"/>
      <c r="M1067" s="46">
        <v>-8.27</v>
      </c>
      <c r="N1067" s="36">
        <v>1063</v>
      </c>
      <c r="O1067" s="41">
        <v>42998.8675</v>
      </c>
    </row>
    <row r="1068" spans="2:15" x14ac:dyDescent="0.25">
      <c r="B1068" s="36" t="s">
        <v>3119</v>
      </c>
      <c r="C1068" s="35" t="s">
        <v>1006</v>
      </c>
      <c r="D1068" s="36" t="s">
        <v>2033</v>
      </c>
      <c r="E1068" s="37">
        <v>3.9999999999999998E-7</v>
      </c>
      <c r="F1068" s="38">
        <v>1.5885700000000001E-3</v>
      </c>
      <c r="G1068" s="39">
        <v>1.0319499999999999</v>
      </c>
      <c r="H1068" s="39"/>
      <c r="I1068" s="40"/>
      <c r="J1068" s="40"/>
      <c r="K1068" s="46">
        <v>-0.05</v>
      </c>
      <c r="L1068" s="46">
        <v>4.1100000000000003</v>
      </c>
      <c r="M1068" s="46">
        <v>-8.31</v>
      </c>
      <c r="N1068" s="36">
        <v>1064</v>
      </c>
      <c r="O1068" s="41">
        <v>42998.8674537037</v>
      </c>
    </row>
    <row r="1069" spans="2:15" x14ac:dyDescent="0.25">
      <c r="B1069" s="36" t="s">
        <v>3061</v>
      </c>
      <c r="C1069" s="35" t="s">
        <v>974</v>
      </c>
      <c r="D1069" s="36" t="s">
        <v>2002</v>
      </c>
      <c r="E1069" s="37">
        <v>2.9999999999999997E-8</v>
      </c>
      <c r="F1069" s="38">
        <v>1.1914299999999999E-4</v>
      </c>
      <c r="G1069" s="39">
        <v>0.71485699999999996</v>
      </c>
      <c r="H1069" s="39"/>
      <c r="I1069" s="40"/>
      <c r="J1069" s="40"/>
      <c r="K1069" s="46">
        <v>-0.05</v>
      </c>
      <c r="L1069" s="46">
        <v>-23.87</v>
      </c>
      <c r="M1069" s="46">
        <v>-23.56</v>
      </c>
      <c r="N1069" s="36">
        <v>1065</v>
      </c>
      <c r="O1069" s="41">
        <v>42998.867731481485</v>
      </c>
    </row>
    <row r="1070" spans="2:15" x14ac:dyDescent="0.25">
      <c r="B1070" s="36" t="s">
        <v>3136</v>
      </c>
      <c r="C1070" s="35" t="s">
        <v>1059</v>
      </c>
      <c r="D1070" s="36" t="s">
        <v>2082</v>
      </c>
      <c r="E1070" s="37">
        <v>4.0179000000000001E-4</v>
      </c>
      <c r="F1070" s="38">
        <v>1.59568</v>
      </c>
      <c r="G1070" s="39">
        <v>0.47776299999999999</v>
      </c>
      <c r="H1070" s="39"/>
      <c r="I1070" s="40"/>
      <c r="J1070" s="40">
        <v>42249</v>
      </c>
      <c r="K1070" s="46">
        <v>-0.05</v>
      </c>
      <c r="L1070" s="46">
        <v>1.51</v>
      </c>
      <c r="M1070" s="46">
        <v>-1.58</v>
      </c>
      <c r="N1070" s="36">
        <v>1066</v>
      </c>
      <c r="O1070" s="41">
        <v>42998.867858796293</v>
      </c>
    </row>
    <row r="1071" spans="2:15" x14ac:dyDescent="0.25">
      <c r="B1071" s="36" t="s">
        <v>3153</v>
      </c>
      <c r="C1071" s="35" t="s">
        <v>1042</v>
      </c>
      <c r="D1071" s="36" t="s">
        <v>1042</v>
      </c>
      <c r="E1071" s="37">
        <v>5.5000000000000003E-7</v>
      </c>
      <c r="F1071" s="38">
        <v>2.1842900000000002E-3</v>
      </c>
      <c r="G1071" s="39">
        <v>0.436857</v>
      </c>
      <c r="H1071" s="39"/>
      <c r="I1071" s="40"/>
      <c r="J1071" s="40"/>
      <c r="K1071" s="46">
        <v>-0.05</v>
      </c>
      <c r="L1071" s="46">
        <v>1.51</v>
      </c>
      <c r="M1071" s="46">
        <v>-20.79</v>
      </c>
      <c r="N1071" s="36">
        <v>1067</v>
      </c>
      <c r="O1071" s="41">
        <v>42998.867662037039</v>
      </c>
    </row>
    <row r="1072" spans="2:15" x14ac:dyDescent="0.25">
      <c r="B1072" s="36" t="s">
        <v>3146</v>
      </c>
      <c r="C1072" s="35" t="s">
        <v>1034</v>
      </c>
      <c r="D1072" s="36" t="s">
        <v>2060</v>
      </c>
      <c r="E1072" s="37">
        <v>2E-8</v>
      </c>
      <c r="F1072" s="38">
        <v>7.94286E-5</v>
      </c>
      <c r="G1072" s="39">
        <v>0.39869199999999999</v>
      </c>
      <c r="H1072" s="39"/>
      <c r="I1072" s="40"/>
      <c r="J1072" s="40"/>
      <c r="K1072" s="46">
        <v>-0.05</v>
      </c>
      <c r="L1072" s="46"/>
      <c r="M1072" s="46">
        <v>1.92</v>
      </c>
      <c r="N1072" s="36">
        <v>1068</v>
      </c>
      <c r="O1072" s="41">
        <v>42998.867685185185</v>
      </c>
    </row>
    <row r="1073" spans="2:15" x14ac:dyDescent="0.25">
      <c r="B1073" s="36" t="s">
        <v>3064</v>
      </c>
      <c r="C1073" s="35" t="s">
        <v>954</v>
      </c>
      <c r="D1073" s="36" t="s">
        <v>1983</v>
      </c>
      <c r="E1073" s="37">
        <v>4.0000000000000001E-8</v>
      </c>
      <c r="F1073" s="38">
        <v>1.5885699999999999E-4</v>
      </c>
      <c r="G1073" s="39">
        <v>0.39769900000000002</v>
      </c>
      <c r="H1073" s="39"/>
      <c r="I1073" s="40"/>
      <c r="J1073" s="40"/>
      <c r="K1073" s="46">
        <v>-0.05</v>
      </c>
      <c r="L1073" s="46"/>
      <c r="M1073" s="46">
        <v>49.04</v>
      </c>
      <c r="N1073" s="36">
        <v>1069</v>
      </c>
      <c r="O1073" s="41">
        <v>42998.867974537039</v>
      </c>
    </row>
    <row r="1074" spans="2:15" x14ac:dyDescent="0.25">
      <c r="B1074" s="36" t="s">
        <v>3056</v>
      </c>
      <c r="C1074" s="35" t="s">
        <v>1040</v>
      </c>
      <c r="D1074" s="36" t="s">
        <v>1040</v>
      </c>
      <c r="E1074" s="37">
        <v>2E-8</v>
      </c>
      <c r="F1074" s="38">
        <v>7.94286E-5</v>
      </c>
      <c r="G1074" s="39">
        <v>0.39714300000000002</v>
      </c>
      <c r="H1074" s="39"/>
      <c r="I1074" s="40"/>
      <c r="J1074" s="40"/>
      <c r="K1074" s="46">
        <v>0.23</v>
      </c>
      <c r="L1074" s="46"/>
      <c r="M1074" s="46"/>
      <c r="N1074" s="36">
        <v>1070</v>
      </c>
      <c r="O1074" s="41">
        <v>42998.867673611108</v>
      </c>
    </row>
    <row r="1075" spans="2:15" x14ac:dyDescent="0.25">
      <c r="B1075" s="36" t="s">
        <v>3140</v>
      </c>
      <c r="C1075" s="35" t="s">
        <v>1030</v>
      </c>
      <c r="D1075" s="36" t="s">
        <v>2056</v>
      </c>
      <c r="E1075" s="37">
        <v>2E-8</v>
      </c>
      <c r="F1075" s="38">
        <v>9.25006E-5</v>
      </c>
      <c r="G1075" s="39">
        <v>5.29103E-2</v>
      </c>
      <c r="H1075" s="39"/>
      <c r="I1075" s="40"/>
      <c r="J1075" s="40"/>
      <c r="K1075" s="46">
        <v>-0.28000000000000003</v>
      </c>
      <c r="L1075" s="46">
        <v>45.61</v>
      </c>
      <c r="M1075" s="46">
        <v>56.43</v>
      </c>
      <c r="N1075" s="36">
        <v>1071</v>
      </c>
      <c r="O1075" s="41">
        <v>42998.86755787037</v>
      </c>
    </row>
    <row r="1076" spans="2:15" x14ac:dyDescent="0.25">
      <c r="B1076" s="36" t="s">
        <v>3111</v>
      </c>
      <c r="C1076" s="35" t="s">
        <v>1025</v>
      </c>
      <c r="D1076" s="36" t="s">
        <v>2051</v>
      </c>
      <c r="E1076" s="37">
        <v>6.0000000000000002E-6</v>
      </c>
      <c r="F1076" s="38">
        <v>2.4058300000000001E-2</v>
      </c>
      <c r="G1076" s="39"/>
      <c r="H1076" s="39"/>
      <c r="I1076" s="40"/>
      <c r="J1076" s="40">
        <v>76682</v>
      </c>
      <c r="K1076" s="46"/>
      <c r="L1076" s="46">
        <v>2.48</v>
      </c>
      <c r="M1076" s="46">
        <v>-22.1</v>
      </c>
      <c r="N1076" s="36">
        <v>1072</v>
      </c>
      <c r="O1076" s="41">
        <v>42998.593599537038</v>
      </c>
    </row>
    <row r="1077" spans="2:15" x14ac:dyDescent="0.25">
      <c r="B1077" s="36" t="s">
        <v>3002</v>
      </c>
      <c r="C1077" s="35" t="s">
        <v>1041</v>
      </c>
      <c r="D1077" s="36" t="s">
        <v>2066</v>
      </c>
      <c r="E1077" s="37">
        <v>1E-8</v>
      </c>
      <c r="F1077" s="38">
        <v>3.9737999999999998E-5</v>
      </c>
      <c r="G1077" s="39"/>
      <c r="H1077" s="39"/>
      <c r="I1077" s="40"/>
      <c r="J1077" s="40"/>
      <c r="K1077" s="46"/>
      <c r="L1077" s="46"/>
      <c r="M1077" s="46">
        <v>1.98</v>
      </c>
      <c r="N1077" s="36">
        <v>1073</v>
      </c>
      <c r="O1077" s="41">
        <v>42996.319340277776</v>
      </c>
    </row>
    <row r="1078" spans="2:15" x14ac:dyDescent="0.25">
      <c r="B1078" s="36" t="s">
        <v>3135</v>
      </c>
      <c r="C1078" s="35" t="s">
        <v>1023</v>
      </c>
      <c r="D1078" s="36" t="s">
        <v>2049</v>
      </c>
      <c r="E1078" s="37">
        <v>2.2000000000000001E-7</v>
      </c>
      <c r="F1078" s="38">
        <v>8.6266299999999995E-4</v>
      </c>
      <c r="G1078" s="39"/>
      <c r="H1078" s="39"/>
      <c r="I1078" s="40"/>
      <c r="J1078" s="40">
        <v>84078950</v>
      </c>
      <c r="K1078" s="46"/>
      <c r="L1078" s="46">
        <v>0.21</v>
      </c>
      <c r="M1078" s="46">
        <v>101.98</v>
      </c>
      <c r="N1078" s="36">
        <v>1074</v>
      </c>
      <c r="O1078" s="41">
        <v>42998.513472222221</v>
      </c>
    </row>
    <row r="1079" spans="2:15" x14ac:dyDescent="0.25">
      <c r="B1079" s="36" t="s">
        <v>3131</v>
      </c>
      <c r="C1079" s="35" t="s">
        <v>1039</v>
      </c>
      <c r="D1079" s="36" t="s">
        <v>2065</v>
      </c>
      <c r="E1079" s="37">
        <v>7.0899999999999999E-6</v>
      </c>
      <c r="F1079" s="38">
        <v>2.7736299999999998E-2</v>
      </c>
      <c r="G1079" s="39"/>
      <c r="H1079" s="39"/>
      <c r="I1079" s="40"/>
      <c r="J1079" s="40"/>
      <c r="K1079" s="46"/>
      <c r="L1079" s="46"/>
      <c r="M1079" s="46">
        <v>0.74</v>
      </c>
      <c r="N1079" s="36">
        <v>1075</v>
      </c>
      <c r="O1079" s="41">
        <v>42991.881493055553</v>
      </c>
    </row>
    <row r="1080" spans="2:15" x14ac:dyDescent="0.25">
      <c r="B1080" s="36" t="s">
        <v>2967</v>
      </c>
      <c r="C1080" s="35" t="s">
        <v>873</v>
      </c>
      <c r="D1080" s="36" t="s">
        <v>1911</v>
      </c>
      <c r="E1080" s="37">
        <v>5.8135899999999997E-2</v>
      </c>
      <c r="F1080" s="38">
        <v>248.315</v>
      </c>
      <c r="G1080" s="39"/>
      <c r="H1080" s="39"/>
      <c r="I1080" s="40"/>
      <c r="J1080" s="40"/>
      <c r="K1080" s="46"/>
      <c r="L1080" s="46"/>
      <c r="M1080" s="46"/>
      <c r="N1080" s="36">
        <v>1076</v>
      </c>
      <c r="O1080" s="41">
        <v>42987.062337962961</v>
      </c>
    </row>
    <row r="1081" spans="2:15" x14ac:dyDescent="0.25">
      <c r="B1081" s="36" t="s">
        <v>2940</v>
      </c>
      <c r="C1081" s="35" t="s">
        <v>834</v>
      </c>
      <c r="D1081" s="36" t="s">
        <v>1873</v>
      </c>
      <c r="E1081" s="37">
        <v>1.172E-5</v>
      </c>
      <c r="F1081" s="38">
        <v>5.0508699999999997E-2</v>
      </c>
      <c r="G1081" s="39"/>
      <c r="H1081" s="39"/>
      <c r="I1081" s="40"/>
      <c r="J1081" s="40">
        <v>1050000000</v>
      </c>
      <c r="K1081" s="46"/>
      <c r="L1081" s="46"/>
      <c r="M1081" s="46"/>
      <c r="N1081" s="36">
        <v>1077</v>
      </c>
      <c r="O1081" s="41">
        <v>42990.434247685182</v>
      </c>
    </row>
    <row r="1082" spans="2:15" x14ac:dyDescent="0.25">
      <c r="B1082" s="36" t="s">
        <v>3162</v>
      </c>
      <c r="C1082" s="35" t="s">
        <v>967</v>
      </c>
      <c r="D1082" s="36" t="s">
        <v>1996</v>
      </c>
      <c r="E1082" s="37">
        <v>4.0099999999999997E-6</v>
      </c>
      <c r="F1082" s="38">
        <v>1.5064599999999999E-2</v>
      </c>
      <c r="G1082" s="39"/>
      <c r="H1082" s="39"/>
      <c r="I1082" s="40"/>
      <c r="J1082" s="40">
        <v>975608</v>
      </c>
      <c r="K1082" s="46"/>
      <c r="L1082" s="46"/>
      <c r="M1082" s="46">
        <v>-90.7</v>
      </c>
      <c r="N1082" s="36">
        <v>1078</v>
      </c>
      <c r="O1082" s="41">
        <v>42993.947789351849</v>
      </c>
    </row>
    <row r="1083" spans="2:15" x14ac:dyDescent="0.25">
      <c r="B1083" s="36" t="s">
        <v>2936</v>
      </c>
      <c r="C1083" s="35" t="s">
        <v>830</v>
      </c>
      <c r="D1083" s="36" t="s">
        <v>1869</v>
      </c>
      <c r="E1083" s="37">
        <v>1.6690000000000001E-5</v>
      </c>
      <c r="F1083" s="38">
        <v>7.7921599999999994E-2</v>
      </c>
      <c r="G1083" s="39"/>
      <c r="H1083" s="39"/>
      <c r="I1083" s="40"/>
      <c r="J1083" s="40"/>
      <c r="K1083" s="46"/>
      <c r="L1083" s="46"/>
      <c r="M1083" s="46"/>
      <c r="N1083" s="36">
        <v>1079</v>
      </c>
      <c r="O1083" s="41">
        <v>42985.666805555556</v>
      </c>
    </row>
    <row r="1084" spans="2:15" x14ac:dyDescent="0.25">
      <c r="B1084" s="36" t="s">
        <v>3075</v>
      </c>
      <c r="C1084" s="35" t="s">
        <v>972</v>
      </c>
      <c r="D1084" s="36" t="s">
        <v>2000</v>
      </c>
      <c r="E1084" s="37">
        <v>1E-8</v>
      </c>
      <c r="F1084" s="38">
        <v>3.6823499999999997E-5</v>
      </c>
      <c r="G1084" s="39"/>
      <c r="H1084" s="39"/>
      <c r="I1084" s="40"/>
      <c r="J1084" s="40">
        <v>21000000</v>
      </c>
      <c r="K1084" s="46"/>
      <c r="L1084" s="46"/>
      <c r="M1084" s="46"/>
      <c r="N1084" s="36">
        <v>1080</v>
      </c>
      <c r="O1084" s="41">
        <v>42995.649201388886</v>
      </c>
    </row>
    <row r="1085" spans="2:15" x14ac:dyDescent="0.25">
      <c r="B1085" s="36" t="s">
        <v>3016</v>
      </c>
      <c r="C1085" s="35" t="s">
        <v>1020</v>
      </c>
      <c r="D1085" s="36" t="s">
        <v>2046</v>
      </c>
      <c r="E1085" s="37">
        <v>1E-8</v>
      </c>
      <c r="F1085" s="38">
        <v>3.9094999999999998E-5</v>
      </c>
      <c r="G1085" s="39"/>
      <c r="H1085" s="39"/>
      <c r="I1085" s="40"/>
      <c r="J1085" s="40">
        <v>22506897562</v>
      </c>
      <c r="K1085" s="46"/>
      <c r="L1085" s="46">
        <v>-0.1</v>
      </c>
      <c r="M1085" s="46">
        <v>0.33</v>
      </c>
      <c r="N1085" s="36">
        <v>1081</v>
      </c>
      <c r="O1085" s="41">
        <v>42997.919988425929</v>
      </c>
    </row>
    <row r="1086" spans="2:15" x14ac:dyDescent="0.25">
      <c r="B1086" s="36" t="s">
        <v>3124</v>
      </c>
      <c r="C1086" s="35" t="s">
        <v>1068</v>
      </c>
      <c r="D1086" s="36" t="s">
        <v>2091</v>
      </c>
      <c r="E1086" s="37">
        <v>1E-8</v>
      </c>
      <c r="F1086" s="38">
        <v>3.9375100000000002E-5</v>
      </c>
      <c r="G1086" s="39"/>
      <c r="H1086" s="39"/>
      <c r="I1086" s="40"/>
      <c r="J1086" s="40">
        <v>1352120000</v>
      </c>
      <c r="K1086" s="46"/>
      <c r="L1086" s="46">
        <v>0.65</v>
      </c>
      <c r="M1086" s="46"/>
      <c r="N1086" s="36">
        <v>1082</v>
      </c>
      <c r="O1086" s="41">
        <v>42997.895474537036</v>
      </c>
    </row>
    <row r="1087" spans="2:15" x14ac:dyDescent="0.25">
      <c r="B1087" s="36" t="s">
        <v>3171</v>
      </c>
      <c r="C1087" s="35" t="s">
        <v>1062</v>
      </c>
      <c r="D1087" s="36" t="s">
        <v>2085</v>
      </c>
      <c r="E1087" s="37">
        <v>1E-8</v>
      </c>
      <c r="F1087" s="38">
        <v>3.9506099999999998E-5</v>
      </c>
      <c r="G1087" s="39"/>
      <c r="H1087" s="39"/>
      <c r="I1087" s="40"/>
      <c r="J1087" s="40"/>
      <c r="K1087" s="46"/>
      <c r="L1087" s="46"/>
      <c r="M1087" s="46">
        <v>1.38</v>
      </c>
      <c r="N1087" s="36">
        <v>1083</v>
      </c>
      <c r="O1087" s="41">
        <v>42996.357210648152</v>
      </c>
    </row>
    <row r="1088" spans="2:15" x14ac:dyDescent="0.25">
      <c r="B1088" s="36" t="s">
        <v>3067</v>
      </c>
      <c r="C1088" s="35" t="s">
        <v>943</v>
      </c>
      <c r="D1088" s="36" t="s">
        <v>1973</v>
      </c>
      <c r="E1088" s="37">
        <v>7.1999999999999999E-7</v>
      </c>
      <c r="F1088" s="38">
        <v>2.8891799999999999E-3</v>
      </c>
      <c r="G1088" s="39"/>
      <c r="H1088" s="39"/>
      <c r="I1088" s="40"/>
      <c r="J1088" s="40"/>
      <c r="K1088" s="46"/>
      <c r="L1088" s="46"/>
      <c r="M1088" s="46"/>
      <c r="N1088" s="36">
        <v>1084</v>
      </c>
      <c r="O1088" s="41">
        <v>42996.878275462965</v>
      </c>
    </row>
    <row r="1089" spans="2:15" x14ac:dyDescent="0.25">
      <c r="B1089" s="36" t="s">
        <v>3087</v>
      </c>
      <c r="C1089" s="35" t="s">
        <v>924</v>
      </c>
      <c r="D1089" s="36" t="s">
        <v>1955</v>
      </c>
      <c r="E1089" s="37">
        <v>4.2740000000000001E-5</v>
      </c>
      <c r="F1089" s="38">
        <v>0.17063300000000001</v>
      </c>
      <c r="G1089" s="39"/>
      <c r="H1089" s="39"/>
      <c r="I1089" s="40"/>
      <c r="J1089" s="40">
        <v>10136412</v>
      </c>
      <c r="K1089" s="46"/>
      <c r="L1089" s="46"/>
      <c r="M1089" s="46">
        <v>6.58</v>
      </c>
      <c r="N1089" s="36">
        <v>1085</v>
      </c>
      <c r="O1089" s="41">
        <v>42997.489259259259</v>
      </c>
    </row>
    <row r="1090" spans="2:15" x14ac:dyDescent="0.25">
      <c r="B1090" s="36" t="s">
        <v>3127</v>
      </c>
      <c r="C1090" s="35" t="s">
        <v>1045</v>
      </c>
      <c r="D1090" s="36" t="s">
        <v>2069</v>
      </c>
      <c r="E1090" s="37">
        <v>1E-8</v>
      </c>
      <c r="F1090" s="38">
        <v>3.9274699999999999E-5</v>
      </c>
      <c r="G1090" s="39"/>
      <c r="H1090" s="39"/>
      <c r="I1090" s="40"/>
      <c r="J1090" s="40"/>
      <c r="K1090" s="46"/>
      <c r="L1090" s="46">
        <v>0.38</v>
      </c>
      <c r="M1090" s="46">
        <v>-49.58</v>
      </c>
      <c r="N1090" s="36">
        <v>1086</v>
      </c>
      <c r="O1090" s="41">
        <v>42998.48238425926</v>
      </c>
    </row>
    <row r="1091" spans="2:15" x14ac:dyDescent="0.25">
      <c r="B1091" s="36" t="s">
        <v>3133</v>
      </c>
      <c r="C1091" s="35" t="s">
        <v>976</v>
      </c>
      <c r="D1091" s="36" t="s">
        <v>2004</v>
      </c>
      <c r="E1091" s="37">
        <v>5.0000000000000001E-9</v>
      </c>
      <c r="F1091" s="38">
        <v>1.8307800000000001E-5</v>
      </c>
      <c r="G1091" s="39"/>
      <c r="H1091" s="39"/>
      <c r="I1091" s="40"/>
      <c r="J1091" s="40"/>
      <c r="K1091" s="46"/>
      <c r="L1091" s="46">
        <v>-31.82</v>
      </c>
      <c r="M1091" s="46">
        <v>-51.02</v>
      </c>
      <c r="N1091" s="36">
        <v>1087</v>
      </c>
      <c r="O1091" s="41">
        <v>42998.472118055557</v>
      </c>
    </row>
    <row r="1092" spans="2:15" x14ac:dyDescent="0.25">
      <c r="B1092" s="36" t="s">
        <v>3169</v>
      </c>
      <c r="C1092" s="35" t="s">
        <v>1058</v>
      </c>
      <c r="D1092" s="36" t="s">
        <v>2081</v>
      </c>
      <c r="E1092" s="37">
        <v>8.0000000000000002E-8</v>
      </c>
      <c r="F1092" s="38">
        <v>3.1603799999999999E-4</v>
      </c>
      <c r="G1092" s="39"/>
      <c r="H1092" s="39"/>
      <c r="I1092" s="40"/>
      <c r="J1092" s="40"/>
      <c r="K1092" s="46"/>
      <c r="L1092" s="46"/>
      <c r="M1092" s="46"/>
      <c r="N1092" s="36">
        <v>1088</v>
      </c>
      <c r="O1092" s="41">
        <v>42991.381793981483</v>
      </c>
    </row>
    <row r="1093" spans="2:15" x14ac:dyDescent="0.25">
      <c r="B1093" s="36" t="s">
        <v>3071</v>
      </c>
      <c r="C1093" s="35" t="s">
        <v>958</v>
      </c>
      <c r="D1093" s="36" t="s">
        <v>1987</v>
      </c>
      <c r="E1093" s="37">
        <v>1.6E-7</v>
      </c>
      <c r="F1093" s="38">
        <v>6.4141000000000003E-4</v>
      </c>
      <c r="G1093" s="39"/>
      <c r="H1093" s="39"/>
      <c r="I1093" s="40"/>
      <c r="J1093" s="40">
        <v>19800001</v>
      </c>
      <c r="K1093" s="46"/>
      <c r="L1093" s="46">
        <v>2.46</v>
      </c>
      <c r="M1093" s="46">
        <v>-6.34</v>
      </c>
      <c r="N1093" s="36">
        <v>1089</v>
      </c>
      <c r="O1093" s="41">
        <v>42998.798321759263</v>
      </c>
    </row>
    <row r="1094" spans="2:15" x14ac:dyDescent="0.25">
      <c r="B1094" s="36" t="s">
        <v>3130</v>
      </c>
      <c r="C1094" s="35" t="s">
        <v>995</v>
      </c>
      <c r="D1094" s="36" t="s">
        <v>2022</v>
      </c>
      <c r="E1094" s="37">
        <v>3.5200000000000002E-6</v>
      </c>
      <c r="F1094" s="38">
        <v>1.06902E-2</v>
      </c>
      <c r="G1094" s="39"/>
      <c r="H1094" s="39"/>
      <c r="I1094" s="40"/>
      <c r="J1094" s="40"/>
      <c r="K1094" s="46"/>
      <c r="L1094" s="46"/>
      <c r="M1094" s="46">
        <v>-20.88</v>
      </c>
      <c r="N1094" s="36">
        <v>1090</v>
      </c>
      <c r="O1094" s="41">
        <v>42993.461435185185</v>
      </c>
    </row>
    <row r="1095" spans="2:15" x14ac:dyDescent="0.25">
      <c r="B1095" s="36" t="s">
        <v>3170</v>
      </c>
      <c r="C1095" s="35" t="s">
        <v>1061</v>
      </c>
      <c r="D1095" s="36" t="s">
        <v>2084</v>
      </c>
      <c r="E1095" s="37">
        <v>1E-8</v>
      </c>
      <c r="F1095" s="38">
        <v>3.8149799999999999E-5</v>
      </c>
      <c r="G1095" s="39"/>
      <c r="H1095" s="39"/>
      <c r="I1095" s="40"/>
      <c r="J1095" s="40">
        <v>604880000</v>
      </c>
      <c r="K1095" s="46"/>
      <c r="L1095" s="46"/>
      <c r="M1095" s="46"/>
      <c r="N1095" s="36">
        <v>1091</v>
      </c>
      <c r="O1095" s="41">
        <v>42996.103912037041</v>
      </c>
    </row>
    <row r="1096" spans="2:15" x14ac:dyDescent="0.25">
      <c r="B1096" s="36" t="s">
        <v>2955</v>
      </c>
      <c r="C1096" s="35" t="s">
        <v>852</v>
      </c>
      <c r="D1096" s="36" t="s">
        <v>1890</v>
      </c>
      <c r="E1096" s="37">
        <v>2.1E-7</v>
      </c>
      <c r="F1096" s="38">
        <v>8.4975899999999995E-4</v>
      </c>
      <c r="G1096" s="39"/>
      <c r="H1096" s="39"/>
      <c r="I1096" s="40"/>
      <c r="J1096" s="40">
        <v>22213403</v>
      </c>
      <c r="K1096" s="46"/>
      <c r="L1096" s="46"/>
      <c r="M1096" s="46">
        <v>-75.41</v>
      </c>
      <c r="N1096" s="36">
        <v>1092</v>
      </c>
      <c r="O1096" s="41">
        <v>42997.388460648152</v>
      </c>
    </row>
    <row r="1097" spans="2:15" x14ac:dyDescent="0.25">
      <c r="B1097" s="36" t="s">
        <v>3141</v>
      </c>
      <c r="C1097" s="35" t="s">
        <v>1033</v>
      </c>
      <c r="D1097" s="36" t="s">
        <v>2059</v>
      </c>
      <c r="E1097" s="37">
        <v>2E-8</v>
      </c>
      <c r="F1097" s="38">
        <v>7.3113600000000004E-5</v>
      </c>
      <c r="G1097" s="39"/>
      <c r="H1097" s="39"/>
      <c r="I1097" s="40"/>
      <c r="J1097" s="40"/>
      <c r="K1097" s="46"/>
      <c r="L1097" s="46">
        <v>4.1100000000000003</v>
      </c>
      <c r="M1097" s="46">
        <v>73.599999999999994</v>
      </c>
      <c r="N1097" s="36">
        <v>1093</v>
      </c>
      <c r="O1097" s="41">
        <v>42998.5937037037</v>
      </c>
    </row>
    <row r="1098" spans="2:15" x14ac:dyDescent="0.25">
      <c r="B1098" s="36" t="s">
        <v>3094</v>
      </c>
      <c r="C1098" s="35" t="s">
        <v>986</v>
      </c>
      <c r="D1098" s="36" t="s">
        <v>2013</v>
      </c>
      <c r="E1098" s="36">
        <v>3.4999999999999998E-7</v>
      </c>
      <c r="F1098" s="36">
        <v>1.3891000000000001E-3</v>
      </c>
      <c r="I1098" s="40"/>
      <c r="J1098" s="40"/>
      <c r="K1098" s="46"/>
      <c r="L1098" s="46"/>
      <c r="M1098" s="46">
        <v>-10.84</v>
      </c>
      <c r="N1098" s="36">
        <v>1094</v>
      </c>
      <c r="O1098" s="41">
        <v>42997.142025462963</v>
      </c>
    </row>
    <row r="1099" spans="2:15" x14ac:dyDescent="0.25">
      <c r="B1099" s="36" t="s">
        <v>3160</v>
      </c>
      <c r="C1099" s="35" t="s">
        <v>1037</v>
      </c>
      <c r="D1099" s="36" t="s">
        <v>2063</v>
      </c>
      <c r="E1099" s="37">
        <v>3.76E-6</v>
      </c>
      <c r="F1099" s="38">
        <v>1.49581E-2</v>
      </c>
      <c r="G1099" s="39"/>
      <c r="H1099" s="39"/>
      <c r="I1099" s="40"/>
      <c r="J1099" s="40"/>
      <c r="K1099" s="46"/>
      <c r="L1099" s="46"/>
      <c r="M1099" s="46">
        <v>2.13</v>
      </c>
      <c r="N1099" s="36">
        <v>1095</v>
      </c>
      <c r="O1099" s="41">
        <v>42997.645324074074</v>
      </c>
    </row>
    <row r="1100" spans="2:15" x14ac:dyDescent="0.25">
      <c r="B1100" s="36" t="s">
        <v>3066</v>
      </c>
      <c r="C1100" s="35" t="s">
        <v>950</v>
      </c>
      <c r="D1100" s="36" t="s">
        <v>950</v>
      </c>
      <c r="E1100" s="37">
        <v>7.4000000000000001E-7</v>
      </c>
      <c r="F1100" s="38">
        <v>2.7916199999999999E-3</v>
      </c>
      <c r="G1100" s="39"/>
      <c r="H1100" s="39"/>
      <c r="I1100" s="40"/>
      <c r="J1100" s="40"/>
      <c r="K1100" s="46"/>
      <c r="L1100" s="46"/>
      <c r="M1100" s="46">
        <v>-33.58</v>
      </c>
      <c r="N1100" s="36">
        <v>1096</v>
      </c>
      <c r="O1100" s="41">
        <v>42995.864189814813</v>
      </c>
    </row>
    <row r="1101" spans="2:15" x14ac:dyDescent="0.25">
      <c r="B1101" s="36" t="s">
        <v>2935</v>
      </c>
      <c r="C1101" s="35" t="s">
        <v>829</v>
      </c>
      <c r="D1101" s="36" t="s">
        <v>1868</v>
      </c>
      <c r="E1101" s="37">
        <v>1.9700000000000002E-6</v>
      </c>
      <c r="F1101" s="38">
        <v>8.4879799999999991E-3</v>
      </c>
      <c r="G1101" s="39"/>
      <c r="H1101" s="39"/>
      <c r="I1101" s="40"/>
      <c r="J1101" s="40">
        <v>999998000</v>
      </c>
      <c r="K1101" s="46"/>
      <c r="L1101" s="46"/>
      <c r="M1101" s="46"/>
      <c r="N1101" s="36">
        <v>1097</v>
      </c>
      <c r="O1101" s="41">
        <v>42987.663402777776</v>
      </c>
    </row>
    <row r="1102" spans="2:15" x14ac:dyDescent="0.25">
      <c r="B1102" s="36" t="s">
        <v>3058</v>
      </c>
      <c r="C1102" s="35" t="s">
        <v>1018</v>
      </c>
      <c r="D1102" s="36" t="s">
        <v>2044</v>
      </c>
      <c r="E1102" s="37">
        <v>2E-8</v>
      </c>
      <c r="F1102" s="38">
        <v>8.05348E-5</v>
      </c>
      <c r="G1102" s="39"/>
      <c r="H1102" s="39"/>
      <c r="I1102" s="40"/>
      <c r="J1102" s="40"/>
      <c r="K1102" s="46"/>
      <c r="L1102" s="46">
        <v>2.91</v>
      </c>
      <c r="M1102" s="46">
        <v>-13.11</v>
      </c>
      <c r="N1102" s="36">
        <v>1098</v>
      </c>
      <c r="O1102" s="41">
        <v>42998.628194444442</v>
      </c>
    </row>
    <row r="1103" spans="2:15" x14ac:dyDescent="0.25">
      <c r="B1103" s="36" t="s">
        <v>3095</v>
      </c>
      <c r="C1103" s="35" t="s">
        <v>983</v>
      </c>
      <c r="D1103" s="36" t="s">
        <v>2010</v>
      </c>
      <c r="E1103" s="37">
        <v>3.1E-7</v>
      </c>
      <c r="F1103" s="38">
        <v>1.2479399999999999E-3</v>
      </c>
      <c r="G1103" s="39"/>
      <c r="H1103" s="39"/>
      <c r="I1103" s="40"/>
      <c r="J1103" s="40"/>
      <c r="K1103" s="46"/>
      <c r="L1103" s="46"/>
      <c r="M1103" s="46">
        <v>-0.21</v>
      </c>
      <c r="N1103" s="36">
        <v>1099</v>
      </c>
      <c r="O1103" s="41">
        <v>42997.666319444441</v>
      </c>
    </row>
    <row r="1104" spans="2:15" x14ac:dyDescent="0.25">
      <c r="B1104" s="36" t="s">
        <v>3174</v>
      </c>
      <c r="C1104" s="35" t="s">
        <v>1070</v>
      </c>
      <c r="D1104" s="36" t="s">
        <v>2093</v>
      </c>
      <c r="E1104" s="37">
        <v>7.0000000000000005E-8</v>
      </c>
      <c r="F1104" s="38">
        <v>2.74338E-4</v>
      </c>
      <c r="G1104" s="39"/>
      <c r="H1104" s="39"/>
      <c r="I1104" s="40"/>
      <c r="J1104" s="40"/>
      <c r="K1104" s="46"/>
      <c r="L1104" s="46">
        <v>0.15</v>
      </c>
      <c r="M1104" s="46">
        <v>-10.24</v>
      </c>
      <c r="N1104" s="36">
        <v>1100</v>
      </c>
      <c r="O1104" s="41">
        <v>42997.916296296295</v>
      </c>
    </row>
    <row r="1105" spans="2:15" x14ac:dyDescent="0.25">
      <c r="B1105" s="36" t="s">
        <v>3128</v>
      </c>
      <c r="C1105" s="35" t="s">
        <v>1016</v>
      </c>
      <c r="D1105" s="36" t="s">
        <v>2042</v>
      </c>
      <c r="E1105" s="37">
        <v>2.4999999999999999E-7</v>
      </c>
      <c r="F1105" s="38">
        <v>9.8974700000000002E-4</v>
      </c>
      <c r="G1105" s="39"/>
      <c r="H1105" s="39"/>
      <c r="I1105" s="40"/>
      <c r="J1105" s="40"/>
      <c r="K1105" s="46">
        <v>-0.49</v>
      </c>
      <c r="L1105" s="46">
        <v>1.23</v>
      </c>
      <c r="M1105" s="46">
        <v>-0.6</v>
      </c>
      <c r="N1105" s="36">
        <v>1101</v>
      </c>
      <c r="O1105" s="41">
        <v>42998.832812499997</v>
      </c>
    </row>
    <row r="1106" spans="2:15" x14ac:dyDescent="0.25">
      <c r="B1106" s="36" t="s">
        <v>3150</v>
      </c>
      <c r="C1106" s="35" t="s">
        <v>1052</v>
      </c>
      <c r="D1106" s="36" t="s">
        <v>2076</v>
      </c>
      <c r="E1106" s="37">
        <v>1.44E-6</v>
      </c>
      <c r="F1106" s="38">
        <v>5.8280600000000004E-3</v>
      </c>
      <c r="G1106" s="39"/>
      <c r="H1106" s="39"/>
      <c r="I1106" s="40"/>
      <c r="J1106" s="40"/>
      <c r="K1106" s="46"/>
      <c r="L1106" s="46">
        <v>3.44</v>
      </c>
      <c r="M1106" s="46">
        <v>16.850000000000001</v>
      </c>
      <c r="N1106" s="36">
        <v>1102</v>
      </c>
      <c r="O1106" s="41">
        <v>42998.596712962964</v>
      </c>
    </row>
    <row r="1107" spans="2:15" x14ac:dyDescent="0.25">
      <c r="B1107" s="36" t="s">
        <v>3172</v>
      </c>
      <c r="C1107" s="35" t="s">
        <v>1065</v>
      </c>
      <c r="D1107" s="36" t="s">
        <v>2088</v>
      </c>
      <c r="E1107" s="37">
        <v>1.5E-6</v>
      </c>
      <c r="F1107" s="38">
        <v>5.3896999999999999E-3</v>
      </c>
      <c r="G1107" s="39"/>
      <c r="H1107" s="39"/>
      <c r="I1107" s="40"/>
      <c r="J1107" s="40">
        <v>5925522</v>
      </c>
      <c r="K1107" s="46"/>
      <c r="L1107" s="46"/>
      <c r="M1107" s="46">
        <v>5.7</v>
      </c>
      <c r="N1107" s="36">
        <v>1103</v>
      </c>
      <c r="O1107" s="41">
        <v>42995.204907407409</v>
      </c>
    </row>
    <row r="1108" spans="2:15" x14ac:dyDescent="0.25">
      <c r="B1108" s="36" t="s">
        <v>3152</v>
      </c>
      <c r="C1108" s="35" t="s">
        <v>1048</v>
      </c>
      <c r="D1108" s="36" t="s">
        <v>2072</v>
      </c>
      <c r="E1108" s="37">
        <v>4.0000000000000001E-8</v>
      </c>
      <c r="F1108" s="38">
        <v>1.55654E-4</v>
      </c>
      <c r="G1108" s="39"/>
      <c r="H1108" s="39"/>
      <c r="I1108" s="40"/>
      <c r="J1108" s="40">
        <v>301004896</v>
      </c>
      <c r="K1108" s="46"/>
      <c r="L1108" s="46">
        <v>-0.51</v>
      </c>
      <c r="M1108" s="46">
        <v>-0.13</v>
      </c>
      <c r="N1108" s="36">
        <v>1104</v>
      </c>
      <c r="O1108" s="41">
        <v>42997.846909722219</v>
      </c>
    </row>
    <row r="1109" spans="2:15" x14ac:dyDescent="0.25">
      <c r="B1109" s="36" t="s">
        <v>3055</v>
      </c>
      <c r="C1109" s="35" t="s">
        <v>1002</v>
      </c>
      <c r="D1109" s="36" t="s">
        <v>2029</v>
      </c>
      <c r="E1109" s="37">
        <v>1.8E-7</v>
      </c>
      <c r="F1109" s="38">
        <v>7.1878899999999995E-4</v>
      </c>
      <c r="G1109" s="39"/>
      <c r="H1109" s="39"/>
      <c r="I1109" s="40"/>
      <c r="J1109" s="40">
        <v>17888425</v>
      </c>
      <c r="K1109" s="46"/>
      <c r="L1109" s="46">
        <v>2.09</v>
      </c>
      <c r="M1109" s="46"/>
      <c r="N1109" s="36">
        <v>1105</v>
      </c>
      <c r="O1109" s="41">
        <v>42998.81554398148</v>
      </c>
    </row>
    <row r="1110" spans="2:15" x14ac:dyDescent="0.25">
      <c r="B1110" s="36" t="s">
        <v>3155</v>
      </c>
      <c r="C1110" s="35" t="s">
        <v>1043</v>
      </c>
      <c r="D1110" s="36" t="s">
        <v>2067</v>
      </c>
      <c r="E1110" s="37">
        <v>5.5E-2</v>
      </c>
      <c r="F1110" s="38">
        <v>220.53399999999999</v>
      </c>
      <c r="G1110" s="39"/>
      <c r="H1110" s="39"/>
      <c r="I1110" s="40"/>
      <c r="J1110" s="40"/>
      <c r="K1110" s="46"/>
      <c r="L1110" s="46">
        <v>2.48</v>
      </c>
      <c r="M1110" s="46"/>
      <c r="N1110" s="36">
        <v>1106</v>
      </c>
      <c r="O1110" s="41">
        <v>42998.593148148146</v>
      </c>
    </row>
    <row r="1111" spans="2:15" x14ac:dyDescent="0.25">
      <c r="B1111" s="36" t="s">
        <v>3126</v>
      </c>
      <c r="C1111" s="35" t="s">
        <v>1028</v>
      </c>
      <c r="D1111" s="36" t="s">
        <v>2054</v>
      </c>
      <c r="E1111" s="37">
        <v>1E-8</v>
      </c>
      <c r="F1111" s="38">
        <v>4.0025399999999998E-5</v>
      </c>
      <c r="G1111" s="39"/>
      <c r="H1111" s="39"/>
      <c r="I1111" s="40"/>
      <c r="J1111" s="40"/>
      <c r="K1111" s="46"/>
      <c r="L1111" s="46"/>
      <c r="M1111" s="46"/>
      <c r="N1111" s="36">
        <v>1107</v>
      </c>
      <c r="O1111" s="41">
        <v>42997.676446759258</v>
      </c>
    </row>
    <row r="1112" spans="2:15" x14ac:dyDescent="0.25">
      <c r="B1112" s="36" t="s">
        <v>3313</v>
      </c>
      <c r="C1112" s="35" t="s">
        <v>3314</v>
      </c>
      <c r="D1112" s="36" t="s">
        <v>3315</v>
      </c>
      <c r="E1112" s="36">
        <v>4.7500000000000003E-6</v>
      </c>
      <c r="F1112" s="36">
        <v>1.9046199999999999E-2</v>
      </c>
      <c r="I1112" s="40"/>
      <c r="J1112" s="40">
        <v>31837050</v>
      </c>
      <c r="K1112" s="46"/>
      <c r="L1112" s="46">
        <v>2.42</v>
      </c>
      <c r="M1112" s="46"/>
      <c r="N1112" s="36">
        <v>1108</v>
      </c>
      <c r="O1112" s="41">
        <v>42998.593784722223</v>
      </c>
    </row>
    <row r="1113" spans="2:15" x14ac:dyDescent="0.25">
      <c r="B1113" s="36" t="s">
        <v>2956</v>
      </c>
      <c r="C1113" s="35" t="s">
        <v>850</v>
      </c>
      <c r="D1113" s="36" t="s">
        <v>850</v>
      </c>
      <c r="E1113" s="36">
        <v>8.7900000000000005E-6</v>
      </c>
      <c r="F1113" s="36">
        <v>3.1561499999999999E-2</v>
      </c>
      <c r="I1113" s="40"/>
      <c r="J1113" s="40">
        <v>62000000</v>
      </c>
      <c r="K1113" s="46"/>
      <c r="L1113" s="46"/>
      <c r="M1113" s="46">
        <v>-2.57</v>
      </c>
      <c r="N1113" s="36">
        <v>1109</v>
      </c>
      <c r="O1113" s="41">
        <v>42995.261203703703</v>
      </c>
    </row>
    <row r="1114" spans="2:15" x14ac:dyDescent="0.25">
      <c r="B1114" s="36" t="s">
        <v>3166</v>
      </c>
      <c r="C1114" s="35" t="s">
        <v>1026</v>
      </c>
      <c r="D1114" s="36" t="s">
        <v>2052</v>
      </c>
      <c r="E1114" s="36">
        <v>5.1029999999999998E-5</v>
      </c>
      <c r="F1114" s="36">
        <v>0.20461599999999999</v>
      </c>
      <c r="I1114" s="40"/>
      <c r="J1114" s="40">
        <v>50379400</v>
      </c>
      <c r="K1114" s="46"/>
      <c r="L1114" s="46">
        <v>2.48</v>
      </c>
      <c r="M1114" s="46">
        <v>191.12</v>
      </c>
      <c r="N1114" s="36">
        <v>1110</v>
      </c>
      <c r="O1114" s="41">
        <v>42998.593611111108</v>
      </c>
    </row>
    <row r="1115" spans="2:15" x14ac:dyDescent="0.25">
      <c r="B1115" s="36" t="s">
        <v>2987</v>
      </c>
      <c r="C1115" s="35" t="s">
        <v>894</v>
      </c>
      <c r="D1115" s="36" t="s">
        <v>1930</v>
      </c>
      <c r="E1115" s="36">
        <v>3.4999999999999999E-6</v>
      </c>
      <c r="F1115" s="36">
        <v>1.4034E-2</v>
      </c>
      <c r="I1115" s="40"/>
      <c r="J1115" s="40"/>
      <c r="K1115" s="46"/>
      <c r="L1115" s="46">
        <v>2.48</v>
      </c>
      <c r="M1115" s="46">
        <v>57.3</v>
      </c>
      <c r="N1115" s="36">
        <v>1111</v>
      </c>
      <c r="O1115" s="41">
        <v>42998.5934375</v>
      </c>
    </row>
    <row r="1116" spans="2:15" x14ac:dyDescent="0.25">
      <c r="B1116" s="36" t="s">
        <v>3084</v>
      </c>
      <c r="C1116" s="35" t="s">
        <v>1057</v>
      </c>
      <c r="D1116" s="36" t="s">
        <v>2080</v>
      </c>
      <c r="E1116" s="36">
        <v>1.375E-5</v>
      </c>
      <c r="F1116" s="36">
        <v>4.5618600000000002E-2</v>
      </c>
      <c r="I1116" s="40"/>
      <c r="J1116" s="40"/>
      <c r="K1116" s="46"/>
      <c r="L1116" s="46"/>
      <c r="M1116" s="46">
        <v>-19.52</v>
      </c>
      <c r="N1116" s="36">
        <v>1112</v>
      </c>
      <c r="O1116" s="41">
        <v>42993.211724537039</v>
      </c>
    </row>
    <row r="1117" spans="2:15" x14ac:dyDescent="0.25">
      <c r="B1117" s="36" t="s">
        <v>3116</v>
      </c>
      <c r="C1117" s="35" t="s">
        <v>988</v>
      </c>
      <c r="D1117" s="36" t="s">
        <v>2015</v>
      </c>
      <c r="E1117" s="36">
        <v>2.9099999999999999E-5</v>
      </c>
      <c r="F1117" s="36">
        <v>0.10444299999999999</v>
      </c>
      <c r="I1117" s="40"/>
      <c r="J1117" s="40">
        <v>10000000000</v>
      </c>
      <c r="K1117" s="46"/>
      <c r="L1117" s="46"/>
      <c r="M1117" s="46">
        <v>-14.73</v>
      </c>
      <c r="N1117" s="36">
        <v>1113</v>
      </c>
      <c r="O1117" s="41">
        <v>42995.259918981479</v>
      </c>
    </row>
    <row r="1118" spans="2:15" x14ac:dyDescent="0.25">
      <c r="B1118" s="36" t="s">
        <v>3132</v>
      </c>
      <c r="C1118" s="35" t="s">
        <v>979</v>
      </c>
      <c r="D1118" s="36" t="s">
        <v>2007</v>
      </c>
      <c r="E1118" s="36">
        <v>2.0000000000000001E-9</v>
      </c>
      <c r="F1118" s="36">
        <v>6.7557000000000004E-6</v>
      </c>
      <c r="I1118" s="40"/>
      <c r="J1118" s="40"/>
      <c r="K1118" s="46"/>
      <c r="L1118" s="46">
        <v>32.51</v>
      </c>
      <c r="M1118" s="46">
        <v>-71.209999999999994</v>
      </c>
      <c r="N1118" s="36">
        <v>1114</v>
      </c>
      <c r="O1118" s="41">
        <v>42998.593217592592</v>
      </c>
    </row>
    <row r="1119" spans="2:15" x14ac:dyDescent="0.25">
      <c r="B1119" s="36" t="s">
        <v>2992</v>
      </c>
      <c r="C1119" s="35" t="s">
        <v>900</v>
      </c>
      <c r="D1119" s="36" t="s">
        <v>1304</v>
      </c>
      <c r="E1119" s="36">
        <v>2.61E-6</v>
      </c>
      <c r="F1119" s="36">
        <v>1.04654E-2</v>
      </c>
      <c r="I1119" s="40"/>
      <c r="J1119" s="40">
        <v>250000000</v>
      </c>
      <c r="K1119" s="46"/>
      <c r="L1119" s="46">
        <v>2.48</v>
      </c>
      <c r="M1119" s="46">
        <v>-11.31</v>
      </c>
      <c r="N1119" s="36">
        <v>1115</v>
      </c>
      <c r="O1119" s="41">
        <v>42998.593645833331</v>
      </c>
    </row>
    <row r="1120" spans="2:15" x14ac:dyDescent="0.25">
      <c r="B1120" s="36" t="s">
        <v>3019</v>
      </c>
      <c r="C1120" s="35" t="s">
        <v>945</v>
      </c>
      <c r="D1120" s="36" t="s">
        <v>1975</v>
      </c>
      <c r="E1120" s="36">
        <v>9.9999999999999995E-8</v>
      </c>
      <c r="F1120" s="36">
        <v>4.0097199999999998E-4</v>
      </c>
      <c r="I1120" s="40"/>
      <c r="J1120" s="40">
        <v>21255250</v>
      </c>
      <c r="K1120" s="46"/>
      <c r="L1120" s="46">
        <v>2.42</v>
      </c>
      <c r="M1120" s="46">
        <v>-15</v>
      </c>
      <c r="N1120" s="36">
        <v>1116</v>
      </c>
      <c r="O1120" s="41">
        <v>42998.59375</v>
      </c>
    </row>
    <row r="1121" spans="2:15" x14ac:dyDescent="0.25">
      <c r="B1121" s="36" t="s">
        <v>3041</v>
      </c>
      <c r="C1121" s="35" t="s">
        <v>996</v>
      </c>
      <c r="D1121" s="36" t="s">
        <v>2023</v>
      </c>
      <c r="E1121" s="36">
        <v>1.4999999999999999E-7</v>
      </c>
      <c r="F1121" s="36">
        <v>6.0566999999999999E-4</v>
      </c>
      <c r="I1121" s="40"/>
      <c r="J1121" s="40"/>
      <c r="K1121" s="46"/>
      <c r="L1121" s="46">
        <v>2.17</v>
      </c>
      <c r="M1121" s="46">
        <v>3.61</v>
      </c>
      <c r="N1121" s="36">
        <v>1117</v>
      </c>
      <c r="O1121" s="41">
        <v>42998.593148148146</v>
      </c>
    </row>
    <row r="1122" spans="2:15" x14ac:dyDescent="0.25">
      <c r="B1122" s="36" t="s">
        <v>2945</v>
      </c>
      <c r="C1122" s="35" t="s">
        <v>840</v>
      </c>
      <c r="D1122" s="36" t="s">
        <v>1879</v>
      </c>
      <c r="E1122" s="36">
        <v>2.1E-7</v>
      </c>
      <c r="F1122" s="36">
        <v>9.8686200000000003E-4</v>
      </c>
      <c r="I1122" s="40"/>
      <c r="J1122" s="40"/>
      <c r="K1122" s="46"/>
      <c r="L1122" s="46"/>
      <c r="M1122" s="46"/>
      <c r="N1122" s="36">
        <v>1118</v>
      </c>
      <c r="O1122" s="41">
        <v>42986.05568287037</v>
      </c>
    </row>
    <row r="1123" spans="2:15" x14ac:dyDescent="0.25">
      <c r="B1123" s="36" t="s">
        <v>2973</v>
      </c>
      <c r="C1123" s="35" t="s">
        <v>882</v>
      </c>
      <c r="D1123" s="36" t="s">
        <v>1762</v>
      </c>
      <c r="E1123" s="36">
        <v>9.5000000000000001E-7</v>
      </c>
      <c r="F1123" s="36">
        <v>3.6617500000000001E-3</v>
      </c>
      <c r="I1123" s="40"/>
      <c r="J1123" s="40"/>
      <c r="K1123" s="46"/>
      <c r="L1123" s="46"/>
      <c r="M1123" s="46">
        <v>36.39</v>
      </c>
      <c r="N1123" s="36">
        <v>1119</v>
      </c>
      <c r="O1123" s="41">
        <v>42994.371412037035</v>
      </c>
    </row>
    <row r="1124" spans="2:15" x14ac:dyDescent="0.25">
      <c r="B1124" s="36" t="s">
        <v>3107</v>
      </c>
      <c r="C1124" s="35" t="s">
        <v>1063</v>
      </c>
      <c r="D1124" s="36" t="s">
        <v>2086</v>
      </c>
      <c r="E1124" s="36">
        <v>2.03E-6</v>
      </c>
      <c r="F1124" s="36">
        <v>8.1397199999999996E-3</v>
      </c>
      <c r="I1124" s="40"/>
      <c r="J1124" s="40">
        <v>1378369</v>
      </c>
      <c r="K1124" s="46"/>
      <c r="L1124" s="46">
        <v>2.48</v>
      </c>
      <c r="M1124" s="46">
        <v>98.79</v>
      </c>
      <c r="N1124" s="36">
        <v>1120</v>
      </c>
      <c r="O1124" s="41">
        <v>42998.593599537038</v>
      </c>
    </row>
    <row r="1125" spans="2:15" x14ac:dyDescent="0.25">
      <c r="B1125" s="36" t="s">
        <v>2891</v>
      </c>
      <c r="C1125" s="35" t="s">
        <v>781</v>
      </c>
      <c r="D1125" s="36" t="s">
        <v>3289</v>
      </c>
      <c r="E1125" s="36">
        <v>1.8320000000000001E-5</v>
      </c>
      <c r="F1125" s="36">
        <v>7.3457999999999996E-2</v>
      </c>
      <c r="I1125" s="40"/>
      <c r="J1125" s="40">
        <v>4976123</v>
      </c>
      <c r="K1125" s="46"/>
      <c r="L1125" s="46">
        <v>2.48</v>
      </c>
      <c r="M1125" s="46">
        <v>544.11</v>
      </c>
      <c r="N1125" s="36">
        <v>1121</v>
      </c>
      <c r="O1125" s="41">
        <v>42998.593275462961</v>
      </c>
    </row>
    <row r="1126" spans="2:15" x14ac:dyDescent="0.25">
      <c r="B1126" s="36" t="s">
        <v>3157</v>
      </c>
      <c r="C1126" s="35" t="s">
        <v>1049</v>
      </c>
      <c r="D1126" s="36" t="s">
        <v>2073</v>
      </c>
      <c r="E1126" s="36">
        <v>1E-8</v>
      </c>
      <c r="F1126" s="36">
        <v>4.6295100000000003E-5</v>
      </c>
      <c r="I1126" s="40"/>
      <c r="J1126" s="40">
        <v>57968072167</v>
      </c>
      <c r="K1126" s="46"/>
      <c r="L1126" s="46"/>
      <c r="M1126" s="46"/>
      <c r="N1126" s="36">
        <v>1122</v>
      </c>
      <c r="O1126" s="41">
        <v>42986.010185185187</v>
      </c>
    </row>
    <row r="1127" spans="2:15" x14ac:dyDescent="0.25">
      <c r="I1127" s="40"/>
      <c r="J1127" s="40"/>
      <c r="K1127" s="46"/>
      <c r="L1127" s="46"/>
      <c r="M1127" s="46"/>
    </row>
    <row r="1128" spans="2:15" x14ac:dyDescent="0.25">
      <c r="I1128" s="40"/>
      <c r="J1128" s="40"/>
      <c r="K1128" s="46"/>
      <c r="L1128" s="46"/>
      <c r="M1128" s="46"/>
    </row>
    <row r="1129" spans="2:15" x14ac:dyDescent="0.25">
      <c r="I1129" s="40"/>
      <c r="J1129" s="40"/>
      <c r="K1129" s="46"/>
      <c r="L1129" s="46"/>
      <c r="M1129" s="46"/>
    </row>
    <row r="1130" spans="2:15" x14ac:dyDescent="0.25">
      <c r="I1130" s="40"/>
      <c r="J1130" s="40"/>
      <c r="K1130" s="46"/>
      <c r="L1130" s="46"/>
      <c r="M1130" s="46"/>
    </row>
    <row r="1131" spans="2:15" x14ac:dyDescent="0.25">
      <c r="I1131" s="40"/>
      <c r="J1131" s="40"/>
      <c r="K1131" s="46"/>
      <c r="L1131" s="46"/>
      <c r="M1131" s="46"/>
    </row>
    <row r="1132" spans="2:15" x14ac:dyDescent="0.25">
      <c r="I1132" s="40"/>
      <c r="J1132" s="40"/>
      <c r="K1132" s="46"/>
      <c r="L1132" s="46"/>
      <c r="M1132" s="46"/>
    </row>
    <row r="1133" spans="2:15" x14ac:dyDescent="0.25">
      <c r="I1133" s="40"/>
      <c r="J1133" s="40"/>
      <c r="K1133" s="46"/>
      <c r="L1133" s="46"/>
      <c r="M1133" s="46"/>
    </row>
    <row r="1134" spans="2:15" x14ac:dyDescent="0.25">
      <c r="I1134" s="40"/>
      <c r="J1134" s="40"/>
      <c r="K1134" s="46"/>
      <c r="L1134" s="46"/>
      <c r="M1134" s="46"/>
    </row>
    <row r="1135" spans="2:15" x14ac:dyDescent="0.25">
      <c r="I1135" s="40"/>
      <c r="J1135" s="40"/>
      <c r="K1135" s="46"/>
      <c r="L1135" s="46"/>
      <c r="M1135" s="46"/>
    </row>
    <row r="1136" spans="2:15" x14ac:dyDescent="0.25">
      <c r="I1136" s="40"/>
      <c r="J1136" s="40"/>
      <c r="K1136" s="46"/>
      <c r="L1136" s="46"/>
      <c r="M1136" s="46"/>
    </row>
    <row r="1137" spans="9:13" x14ac:dyDescent="0.25">
      <c r="I1137" s="40"/>
      <c r="J1137" s="40"/>
      <c r="K1137" s="46"/>
      <c r="L1137" s="46"/>
      <c r="M1137" s="46"/>
    </row>
    <row r="1138" spans="9:13" x14ac:dyDescent="0.25">
      <c r="I1138" s="40"/>
      <c r="J1138" s="40"/>
      <c r="K1138" s="46"/>
      <c r="L1138" s="46"/>
      <c r="M1138" s="46"/>
    </row>
    <row r="1139" spans="9:13" x14ac:dyDescent="0.25">
      <c r="I1139" s="40"/>
      <c r="J1139" s="40"/>
      <c r="K1139" s="46"/>
      <c r="L1139" s="46"/>
      <c r="M1139" s="46"/>
    </row>
    <row r="1140" spans="9:13" x14ac:dyDescent="0.25">
      <c r="I1140" s="40"/>
      <c r="J1140" s="40"/>
      <c r="K1140" s="46"/>
      <c r="L1140" s="46"/>
      <c r="M1140" s="46"/>
    </row>
    <row r="1141" spans="9:13" x14ac:dyDescent="0.25">
      <c r="I1141" s="40"/>
      <c r="J1141" s="40"/>
      <c r="K1141" s="46"/>
      <c r="L1141" s="46"/>
      <c r="M1141" s="46"/>
    </row>
    <row r="1142" spans="9:13" x14ac:dyDescent="0.25">
      <c r="I1142" s="40"/>
      <c r="J1142" s="40"/>
      <c r="K1142" s="46"/>
      <c r="L1142" s="46"/>
      <c r="M1142" s="46"/>
    </row>
    <row r="1143" spans="9:13" x14ac:dyDescent="0.25">
      <c r="I1143" s="40"/>
      <c r="J1143" s="40"/>
      <c r="K1143" s="46"/>
      <c r="L1143" s="46"/>
      <c r="M1143" s="46"/>
    </row>
    <row r="1144" spans="9:13" x14ac:dyDescent="0.25">
      <c r="I1144" s="40"/>
      <c r="J1144" s="40"/>
      <c r="K1144" s="46"/>
      <c r="L1144" s="46"/>
      <c r="M1144" s="46"/>
    </row>
    <row r="1145" spans="9:13" x14ac:dyDescent="0.25">
      <c r="I1145" s="40"/>
      <c r="J1145" s="40"/>
      <c r="K1145" s="46"/>
      <c r="L1145" s="46"/>
      <c r="M1145" s="46"/>
    </row>
    <row r="1146" spans="9:13" x14ac:dyDescent="0.25">
      <c r="I1146" s="40"/>
      <c r="J1146" s="40"/>
      <c r="K1146" s="46"/>
      <c r="L1146" s="46"/>
      <c r="M1146" s="46"/>
    </row>
    <row r="1147" spans="9:13" x14ac:dyDescent="0.25">
      <c r="I1147" s="40"/>
      <c r="J1147" s="40"/>
      <c r="K1147" s="46"/>
      <c r="L1147" s="46"/>
      <c r="M1147" s="46"/>
    </row>
    <row r="1148" spans="9:13" x14ac:dyDescent="0.25">
      <c r="I1148" s="40"/>
      <c r="J1148" s="40"/>
      <c r="K1148" s="46"/>
      <c r="L1148" s="46"/>
      <c r="M1148" s="46"/>
    </row>
    <row r="1149" spans="9:13" x14ac:dyDescent="0.25">
      <c r="I1149" s="40"/>
      <c r="J1149" s="40"/>
      <c r="K1149" s="46"/>
      <c r="L1149" s="46"/>
      <c r="M1149" s="46"/>
    </row>
    <row r="1150" spans="9:13" x14ac:dyDescent="0.25">
      <c r="I1150" s="40"/>
      <c r="J1150" s="40"/>
      <c r="K1150" s="46"/>
      <c r="L1150" s="46"/>
      <c r="M1150" s="46"/>
    </row>
    <row r="1151" spans="9:13" x14ac:dyDescent="0.25">
      <c r="I1151" s="40"/>
      <c r="J1151" s="40"/>
      <c r="K1151" s="46"/>
      <c r="L1151" s="46"/>
      <c r="M1151" s="46"/>
    </row>
    <row r="1152" spans="9:13" x14ac:dyDescent="0.25">
      <c r="I1152" s="40"/>
      <c r="J1152" s="40"/>
      <c r="K1152" s="46"/>
      <c r="L1152" s="46"/>
      <c r="M1152" s="46"/>
    </row>
    <row r="1153" spans="9:13" x14ac:dyDescent="0.25">
      <c r="I1153" s="40"/>
      <c r="J1153" s="40"/>
      <c r="K1153" s="46"/>
      <c r="L1153" s="46"/>
      <c r="M1153" s="46"/>
    </row>
    <row r="1154" spans="9:13" x14ac:dyDescent="0.25">
      <c r="I1154" s="40"/>
      <c r="J1154" s="40"/>
      <c r="K1154" s="46"/>
      <c r="L1154" s="46"/>
      <c r="M1154" s="46"/>
    </row>
    <row r="1155" spans="9:13" x14ac:dyDescent="0.25">
      <c r="I1155" s="40"/>
      <c r="J1155" s="40"/>
      <c r="K1155" s="46"/>
      <c r="L1155" s="46"/>
      <c r="M1155" s="46"/>
    </row>
    <row r="1156" spans="9:13" x14ac:dyDescent="0.25">
      <c r="I1156" s="40"/>
      <c r="J1156" s="40"/>
      <c r="K1156" s="46"/>
      <c r="L1156" s="46"/>
      <c r="M1156" s="46"/>
    </row>
    <row r="1157" spans="9:13" x14ac:dyDescent="0.25">
      <c r="I1157" s="40"/>
      <c r="J1157" s="40"/>
      <c r="K1157" s="46"/>
      <c r="L1157" s="46"/>
      <c r="M1157" s="46"/>
    </row>
    <row r="1158" spans="9:13" x14ac:dyDescent="0.25">
      <c r="I1158" s="40"/>
      <c r="J1158" s="40"/>
      <c r="K1158" s="46"/>
      <c r="L1158" s="46"/>
      <c r="M1158" s="46"/>
    </row>
    <row r="1159" spans="9:13" x14ac:dyDescent="0.25">
      <c r="I1159" s="40"/>
      <c r="J1159" s="40"/>
      <c r="K1159" s="46"/>
      <c r="L1159" s="46"/>
      <c r="M1159" s="46"/>
    </row>
    <row r="1160" spans="9:13" x14ac:dyDescent="0.25">
      <c r="I1160" s="40"/>
      <c r="J1160" s="40"/>
      <c r="K1160" s="46"/>
      <c r="L1160" s="46"/>
      <c r="M1160" s="46"/>
    </row>
    <row r="1161" spans="9:13" x14ac:dyDescent="0.25">
      <c r="I1161" s="40"/>
      <c r="J1161" s="40"/>
      <c r="K1161" s="46"/>
      <c r="L1161" s="46"/>
      <c r="M1161" s="46"/>
    </row>
    <row r="1162" spans="9:13" x14ac:dyDescent="0.25">
      <c r="I1162" s="40"/>
      <c r="J1162" s="40"/>
      <c r="K1162" s="46"/>
      <c r="L1162" s="46"/>
      <c r="M1162" s="46"/>
    </row>
    <row r="1163" spans="9:13" x14ac:dyDescent="0.25">
      <c r="I1163" s="40"/>
      <c r="J1163" s="40"/>
      <c r="K1163" s="46"/>
      <c r="L1163" s="46"/>
      <c r="M1163" s="46"/>
    </row>
    <row r="1164" spans="9:13" x14ac:dyDescent="0.25">
      <c r="I1164" s="40"/>
      <c r="J1164" s="40"/>
      <c r="K1164" s="46"/>
      <c r="L1164" s="46"/>
      <c r="M1164" s="46"/>
    </row>
    <row r="1165" spans="9:13" x14ac:dyDescent="0.25">
      <c r="I1165" s="40"/>
      <c r="J1165" s="40"/>
      <c r="K1165" s="46"/>
      <c r="L1165" s="46"/>
      <c r="M1165" s="46"/>
    </row>
    <row r="1166" spans="9:13" x14ac:dyDescent="0.25">
      <c r="I1166" s="40"/>
      <c r="J1166" s="40"/>
      <c r="K1166" s="46"/>
      <c r="L1166" s="46"/>
      <c r="M1166" s="46"/>
    </row>
    <row r="1167" spans="9:13" x14ac:dyDescent="0.25">
      <c r="I1167" s="40"/>
      <c r="J1167" s="40"/>
      <c r="K1167" s="46"/>
      <c r="L1167" s="46"/>
      <c r="M1167" s="46"/>
    </row>
    <row r="1168" spans="9:13" x14ac:dyDescent="0.25">
      <c r="I1168" s="40"/>
      <c r="J1168" s="40"/>
      <c r="K1168" s="46"/>
      <c r="L1168" s="46"/>
      <c r="M1168" s="46"/>
    </row>
    <row r="1169" spans="9:13" x14ac:dyDescent="0.25">
      <c r="I1169" s="40"/>
      <c r="J1169" s="40"/>
      <c r="K1169" s="46"/>
      <c r="L1169" s="46"/>
      <c r="M1169" s="46"/>
    </row>
    <row r="1170" spans="9:13" x14ac:dyDescent="0.25">
      <c r="I1170" s="40"/>
      <c r="J1170" s="40"/>
      <c r="K1170" s="46"/>
      <c r="L1170" s="46"/>
      <c r="M1170" s="46"/>
    </row>
    <row r="1171" spans="9:13" x14ac:dyDescent="0.25">
      <c r="I1171" s="40"/>
      <c r="J1171" s="40"/>
      <c r="K1171" s="46"/>
      <c r="L1171" s="46"/>
      <c r="M1171" s="46"/>
    </row>
    <row r="1172" spans="9:13" x14ac:dyDescent="0.25">
      <c r="I1172" s="40"/>
      <c r="J1172" s="40"/>
      <c r="K1172" s="46"/>
      <c r="L1172" s="46"/>
      <c r="M1172" s="46"/>
    </row>
    <row r="1173" spans="9:13" x14ac:dyDescent="0.25">
      <c r="I1173" s="40"/>
      <c r="J1173" s="40"/>
      <c r="K1173" s="46"/>
      <c r="L1173" s="46"/>
      <c r="M1173" s="46"/>
    </row>
    <row r="1174" spans="9:13" x14ac:dyDescent="0.25">
      <c r="I1174" s="40"/>
      <c r="J1174" s="40"/>
      <c r="K1174" s="46"/>
      <c r="L1174" s="46"/>
      <c r="M1174" s="46"/>
    </row>
    <row r="1175" spans="9:13" x14ac:dyDescent="0.25">
      <c r="K1175" s="46"/>
      <c r="L1175" s="46"/>
      <c r="M1175" s="46"/>
    </row>
    <row r="1176" spans="9:13" x14ac:dyDescent="0.25">
      <c r="K1176" s="46"/>
      <c r="L1176" s="46"/>
      <c r="M1176" s="46"/>
    </row>
    <row r="1177" spans="9:13" x14ac:dyDescent="0.25">
      <c r="K1177" s="46"/>
      <c r="L1177" s="46"/>
      <c r="M1177" s="46"/>
    </row>
    <row r="1178" spans="9:13" x14ac:dyDescent="0.25">
      <c r="K1178" s="46"/>
      <c r="L1178" s="46"/>
      <c r="M1178" s="46"/>
    </row>
    <row r="1179" spans="9:13" x14ac:dyDescent="0.25">
      <c r="K1179" s="46"/>
      <c r="L1179" s="46"/>
      <c r="M1179" s="46"/>
    </row>
    <row r="1180" spans="9:13" x14ac:dyDescent="0.25">
      <c r="K1180" s="46"/>
      <c r="L1180" s="46"/>
      <c r="M1180" s="46"/>
    </row>
    <row r="1181" spans="9:13" x14ac:dyDescent="0.25">
      <c r="K1181" s="46"/>
      <c r="L1181" s="46"/>
      <c r="M1181" s="46"/>
    </row>
    <row r="1182" spans="9:13" x14ac:dyDescent="0.25">
      <c r="K1182" s="46"/>
      <c r="L1182" s="46"/>
      <c r="M1182" s="46"/>
    </row>
    <row r="1183" spans="9:13" x14ac:dyDescent="0.25">
      <c r="K1183" s="46"/>
      <c r="L1183" s="46"/>
      <c r="M1183" s="46"/>
    </row>
    <row r="1184" spans="9:13" x14ac:dyDescent="0.25">
      <c r="K1184" s="46"/>
      <c r="L1184" s="46"/>
      <c r="M1184" s="46"/>
    </row>
    <row r="1185" spans="11:13" x14ac:dyDescent="0.25">
      <c r="K1185" s="46"/>
      <c r="L1185" s="46"/>
      <c r="M1185" s="46"/>
    </row>
    <row r="1186" spans="11:13" x14ac:dyDescent="0.25">
      <c r="K1186" s="46"/>
      <c r="L1186" s="46"/>
      <c r="M1186" s="46"/>
    </row>
    <row r="1187" spans="11:13" x14ac:dyDescent="0.25">
      <c r="K1187" s="46"/>
      <c r="L1187" s="46"/>
      <c r="M1187" s="46"/>
    </row>
    <row r="1188" spans="11:13" x14ac:dyDescent="0.25">
      <c r="K1188" s="46"/>
      <c r="L1188" s="46"/>
      <c r="M1188" s="46"/>
    </row>
    <row r="1189" spans="11:13" x14ac:dyDescent="0.25">
      <c r="K1189" s="46"/>
      <c r="L1189" s="46"/>
      <c r="M1189" s="46"/>
    </row>
    <row r="1190" spans="11:13" x14ac:dyDescent="0.25">
      <c r="K1190" s="46"/>
      <c r="L1190" s="46"/>
      <c r="M1190" s="46"/>
    </row>
    <row r="1191" spans="11:13" x14ac:dyDescent="0.25">
      <c r="K1191" s="46"/>
      <c r="L1191" s="46"/>
      <c r="M1191" s="46"/>
    </row>
    <row r="1192" spans="11:13" x14ac:dyDescent="0.25">
      <c r="K1192" s="46"/>
      <c r="L1192" s="46"/>
      <c r="M1192" s="46"/>
    </row>
    <row r="1193" spans="11:13" x14ac:dyDescent="0.25">
      <c r="K1193" s="46"/>
      <c r="L1193" s="46"/>
      <c r="M1193" s="46"/>
    </row>
    <row r="1194" spans="11:13" x14ac:dyDescent="0.25">
      <c r="K1194" s="46"/>
      <c r="L1194" s="46"/>
      <c r="M1194" s="46"/>
    </row>
    <row r="1195" spans="11:13" x14ac:dyDescent="0.25">
      <c r="K1195" s="46"/>
      <c r="L1195" s="46"/>
      <c r="M1195" s="46"/>
    </row>
    <row r="1196" spans="11:13" x14ac:dyDescent="0.25">
      <c r="K1196" s="46"/>
      <c r="L1196" s="46"/>
      <c r="M1196" s="46"/>
    </row>
    <row r="1197" spans="11:13" x14ac:dyDescent="0.25">
      <c r="K1197" s="46"/>
      <c r="L1197" s="46"/>
      <c r="M1197" s="46"/>
    </row>
    <row r="1198" spans="11:13" x14ac:dyDescent="0.25">
      <c r="K1198" s="46"/>
      <c r="L1198" s="46"/>
      <c r="M1198" s="46"/>
    </row>
    <row r="1199" spans="11:13" x14ac:dyDescent="0.25">
      <c r="K1199" s="46"/>
      <c r="L1199" s="46"/>
      <c r="M1199" s="46"/>
    </row>
    <row r="1200" spans="11:13" x14ac:dyDescent="0.25">
      <c r="K1200" s="46"/>
      <c r="L1200" s="46"/>
      <c r="M1200" s="46"/>
    </row>
    <row r="1201" spans="11:13" x14ac:dyDescent="0.25">
      <c r="K1201" s="46"/>
      <c r="L1201" s="46"/>
      <c r="M1201" s="46"/>
    </row>
    <row r="1202" spans="11:13" x14ac:dyDescent="0.25">
      <c r="K1202" s="46"/>
      <c r="L1202" s="46"/>
      <c r="M1202" s="46"/>
    </row>
    <row r="1203" spans="11:13" x14ac:dyDescent="0.25">
      <c r="K1203" s="46"/>
      <c r="L1203" s="46"/>
      <c r="M1203" s="46"/>
    </row>
    <row r="1204" spans="11:13" x14ac:dyDescent="0.25">
      <c r="K1204" s="46"/>
      <c r="L1204" s="46"/>
      <c r="M1204" s="46"/>
    </row>
    <row r="1205" spans="11:13" x14ac:dyDescent="0.25">
      <c r="K1205" s="46"/>
      <c r="L1205" s="46"/>
      <c r="M1205" s="46"/>
    </row>
    <row r="1206" spans="11:13" x14ac:dyDescent="0.25">
      <c r="K1206" s="46"/>
      <c r="L1206" s="46"/>
      <c r="M1206" s="46"/>
    </row>
    <row r="1207" spans="11:13" x14ac:dyDescent="0.25">
      <c r="K1207" s="46"/>
      <c r="L1207" s="46"/>
      <c r="M1207" s="46"/>
    </row>
    <row r="1208" spans="11:13" x14ac:dyDescent="0.25">
      <c r="K1208" s="46"/>
      <c r="L1208" s="46"/>
      <c r="M1208" s="46"/>
    </row>
    <row r="1209" spans="11:13" x14ac:dyDescent="0.25">
      <c r="K1209" s="46"/>
      <c r="L1209" s="46"/>
      <c r="M1209" s="46"/>
    </row>
    <row r="1210" spans="11:13" x14ac:dyDescent="0.25">
      <c r="K1210" s="46"/>
      <c r="L1210" s="46"/>
      <c r="M1210" s="46"/>
    </row>
    <row r="1211" spans="11:13" x14ac:dyDescent="0.25">
      <c r="K1211" s="46"/>
      <c r="L1211" s="46"/>
      <c r="M1211" s="46"/>
    </row>
    <row r="1212" spans="11:13" x14ac:dyDescent="0.25">
      <c r="K1212" s="46"/>
      <c r="L1212" s="46"/>
      <c r="M1212" s="46"/>
    </row>
    <row r="1213" spans="11:13" x14ac:dyDescent="0.25">
      <c r="K1213" s="46"/>
      <c r="L1213" s="46"/>
      <c r="M1213" s="46"/>
    </row>
    <row r="1214" spans="11:13" x14ac:dyDescent="0.25">
      <c r="K1214" s="46"/>
      <c r="L1214" s="46"/>
      <c r="M1214" s="46"/>
    </row>
    <row r="1215" spans="11:13" x14ac:dyDescent="0.25">
      <c r="K1215" s="46"/>
      <c r="L1215" s="46"/>
      <c r="M1215" s="46"/>
    </row>
    <row r="1216" spans="11:13" x14ac:dyDescent="0.25">
      <c r="K1216" s="46"/>
      <c r="L1216" s="46"/>
      <c r="M1216" s="46"/>
    </row>
    <row r="1217" spans="11:13" x14ac:dyDescent="0.25">
      <c r="K1217" s="46"/>
      <c r="L1217" s="46"/>
      <c r="M1217" s="46"/>
    </row>
    <row r="1218" spans="11:13" x14ac:dyDescent="0.25">
      <c r="K1218" s="46"/>
      <c r="L1218" s="46"/>
      <c r="M1218" s="46"/>
    </row>
    <row r="1219" spans="11:13" x14ac:dyDescent="0.25">
      <c r="K1219" s="46"/>
      <c r="L1219" s="46"/>
      <c r="M1219" s="46"/>
    </row>
    <row r="1220" spans="11:13" x14ac:dyDescent="0.25">
      <c r="K1220" s="46"/>
      <c r="L1220" s="46"/>
      <c r="M1220" s="46"/>
    </row>
    <row r="1221" spans="11:13" x14ac:dyDescent="0.25">
      <c r="K1221" s="46"/>
      <c r="L1221" s="46"/>
      <c r="M1221" s="46"/>
    </row>
    <row r="1222" spans="11:13" x14ac:dyDescent="0.25">
      <c r="K1222" s="46"/>
      <c r="L1222" s="46"/>
      <c r="M1222" s="46"/>
    </row>
    <row r="1223" spans="11:13" x14ac:dyDescent="0.25">
      <c r="K1223" s="46"/>
      <c r="L1223" s="46"/>
      <c r="M1223" s="46"/>
    </row>
    <row r="1224" spans="11:13" x14ac:dyDescent="0.25">
      <c r="K1224" s="46"/>
      <c r="L1224" s="46"/>
      <c r="M1224" s="46"/>
    </row>
    <row r="1225" spans="11:13" x14ac:dyDescent="0.25">
      <c r="K1225" s="46"/>
      <c r="L1225" s="46"/>
      <c r="M1225" s="46"/>
    </row>
    <row r="1226" spans="11:13" x14ac:dyDescent="0.25">
      <c r="K1226" s="46"/>
      <c r="L1226" s="46"/>
      <c r="M1226" s="46"/>
    </row>
    <row r="1227" spans="11:13" x14ac:dyDescent="0.25">
      <c r="K1227" s="46"/>
      <c r="L1227" s="46"/>
      <c r="M1227" s="46"/>
    </row>
    <row r="1228" spans="11:13" x14ac:dyDescent="0.25">
      <c r="K1228" s="46"/>
      <c r="L1228" s="46"/>
      <c r="M1228" s="46"/>
    </row>
    <row r="1229" spans="11:13" x14ac:dyDescent="0.25">
      <c r="K1229" s="46"/>
      <c r="L1229" s="46"/>
      <c r="M1229" s="46"/>
    </row>
    <row r="1230" spans="11:13" x14ac:dyDescent="0.25">
      <c r="K1230" s="46"/>
      <c r="L1230" s="46"/>
      <c r="M1230" s="46"/>
    </row>
    <row r="1231" spans="11:13" x14ac:dyDescent="0.25">
      <c r="K1231" s="46"/>
      <c r="L1231" s="46"/>
      <c r="M1231" s="46"/>
    </row>
    <row r="1232" spans="11:13" x14ac:dyDescent="0.25">
      <c r="K1232" s="46"/>
      <c r="L1232" s="46"/>
      <c r="M1232" s="46"/>
    </row>
    <row r="1233" spans="11:13" x14ac:dyDescent="0.25">
      <c r="K1233" s="46"/>
      <c r="L1233" s="46"/>
      <c r="M1233" s="46"/>
    </row>
    <row r="1234" spans="11:13" x14ac:dyDescent="0.25">
      <c r="K1234" s="46"/>
      <c r="L1234" s="46"/>
      <c r="M1234" s="46"/>
    </row>
    <row r="1235" spans="11:13" x14ac:dyDescent="0.25">
      <c r="K1235" s="46"/>
      <c r="L1235" s="46"/>
      <c r="M1235" s="46"/>
    </row>
    <row r="1236" spans="11:13" x14ac:dyDescent="0.25">
      <c r="K1236" s="46"/>
      <c r="L1236" s="46"/>
      <c r="M1236" s="46"/>
    </row>
    <row r="1237" spans="11:13" x14ac:dyDescent="0.25">
      <c r="K1237" s="46"/>
      <c r="L1237" s="46"/>
      <c r="M1237" s="46"/>
    </row>
    <row r="1238" spans="11:13" x14ac:dyDescent="0.25">
      <c r="K1238" s="46"/>
      <c r="L1238" s="46"/>
      <c r="M1238" s="46"/>
    </row>
    <row r="1239" spans="11:13" x14ac:dyDescent="0.25">
      <c r="K1239" s="46"/>
      <c r="L1239" s="46"/>
      <c r="M1239" s="46"/>
    </row>
    <row r="1240" spans="11:13" x14ac:dyDescent="0.25">
      <c r="K1240" s="46"/>
      <c r="L1240" s="46"/>
      <c r="M1240" s="46"/>
    </row>
    <row r="1241" spans="11:13" x14ac:dyDescent="0.25">
      <c r="K1241" s="46"/>
      <c r="L1241" s="46"/>
      <c r="M1241" s="46"/>
    </row>
    <row r="1242" spans="11:13" x14ac:dyDescent="0.25">
      <c r="K1242" s="46"/>
      <c r="L1242" s="46"/>
      <c r="M1242" s="46"/>
    </row>
    <row r="1243" spans="11:13" x14ac:dyDescent="0.25">
      <c r="K1243" s="46"/>
      <c r="L1243" s="46"/>
      <c r="M1243" s="46"/>
    </row>
    <row r="1244" spans="11:13" x14ac:dyDescent="0.25">
      <c r="K1244" s="46"/>
      <c r="L1244" s="46"/>
      <c r="M1244" s="46"/>
    </row>
    <row r="1245" spans="11:13" x14ac:dyDescent="0.25">
      <c r="K1245" s="46"/>
      <c r="L1245" s="46"/>
      <c r="M1245" s="46"/>
    </row>
    <row r="1246" spans="11:13" x14ac:dyDescent="0.25">
      <c r="K1246" s="46"/>
      <c r="L1246" s="46"/>
      <c r="M1246" s="46"/>
    </row>
    <row r="1247" spans="11:13" x14ac:dyDescent="0.25">
      <c r="K1247" s="46"/>
      <c r="L1247" s="46"/>
      <c r="M1247" s="46"/>
    </row>
    <row r="1248" spans="11:13" x14ac:dyDescent="0.25">
      <c r="K1248" s="46"/>
      <c r="L1248" s="46"/>
      <c r="M1248" s="46"/>
    </row>
    <row r="1249" spans="11:13" x14ac:dyDescent="0.25">
      <c r="K1249" s="46"/>
      <c r="L1249" s="46"/>
      <c r="M1249" s="46"/>
    </row>
    <row r="1250" spans="11:13" x14ac:dyDescent="0.25">
      <c r="K1250" s="46"/>
      <c r="L1250" s="46"/>
      <c r="M1250" s="46"/>
    </row>
    <row r="1251" spans="11:13" x14ac:dyDescent="0.25">
      <c r="K1251" s="46"/>
      <c r="L1251" s="46"/>
      <c r="M1251" s="46"/>
    </row>
    <row r="1252" spans="11:13" x14ac:dyDescent="0.25">
      <c r="K1252" s="46"/>
      <c r="L1252" s="46"/>
      <c r="M1252" s="46"/>
    </row>
    <row r="1253" spans="11:13" x14ac:dyDescent="0.25">
      <c r="K1253" s="46"/>
      <c r="L1253" s="46"/>
      <c r="M1253" s="46"/>
    </row>
    <row r="1254" spans="11:13" x14ac:dyDescent="0.25">
      <c r="K1254" s="46"/>
      <c r="L1254" s="46"/>
      <c r="M1254" s="46"/>
    </row>
    <row r="1255" spans="11:13" x14ac:dyDescent="0.25">
      <c r="K1255" s="46"/>
      <c r="L1255" s="46"/>
      <c r="M1255" s="46"/>
    </row>
    <row r="1256" spans="11:13" x14ac:dyDescent="0.25">
      <c r="K1256" s="46"/>
      <c r="L1256" s="46"/>
      <c r="M1256" s="46"/>
    </row>
    <row r="1257" spans="11:13" x14ac:dyDescent="0.25">
      <c r="K1257" s="46"/>
      <c r="L1257" s="46"/>
      <c r="M1257" s="46"/>
    </row>
    <row r="1258" spans="11:13" x14ac:dyDescent="0.25">
      <c r="K1258" s="46"/>
      <c r="L1258" s="46"/>
      <c r="M1258" s="46"/>
    </row>
    <row r="1259" spans="11:13" x14ac:dyDescent="0.25">
      <c r="K1259" s="46"/>
      <c r="L1259" s="46"/>
      <c r="M1259" s="46"/>
    </row>
    <row r="1260" spans="11:13" x14ac:dyDescent="0.25">
      <c r="K1260" s="46"/>
      <c r="L1260" s="46"/>
      <c r="M1260" s="46"/>
    </row>
    <row r="1261" spans="11:13" x14ac:dyDescent="0.25">
      <c r="K1261" s="46"/>
      <c r="L1261" s="46"/>
      <c r="M1261" s="46"/>
    </row>
    <row r="1262" spans="11:13" x14ac:dyDescent="0.25">
      <c r="K1262" s="46"/>
      <c r="L1262" s="46"/>
      <c r="M1262" s="46"/>
    </row>
    <row r="1263" spans="11:13" x14ac:dyDescent="0.25">
      <c r="K1263" s="46"/>
      <c r="L1263" s="46"/>
      <c r="M1263" s="46"/>
    </row>
    <row r="1264" spans="11:13" x14ac:dyDescent="0.25">
      <c r="K1264" s="46"/>
      <c r="L1264" s="46"/>
      <c r="M1264" s="46"/>
    </row>
    <row r="1265" spans="11:13" x14ac:dyDescent="0.25">
      <c r="K1265" s="46"/>
      <c r="L1265" s="46"/>
      <c r="M1265" s="46"/>
    </row>
    <row r="1266" spans="11:13" x14ac:dyDescent="0.25">
      <c r="K1266" s="46"/>
      <c r="L1266" s="46"/>
      <c r="M1266" s="46"/>
    </row>
    <row r="1267" spans="11:13" x14ac:dyDescent="0.25">
      <c r="K1267" s="46"/>
      <c r="L1267" s="46"/>
      <c r="M1267" s="46"/>
    </row>
    <row r="1268" spans="11:13" x14ac:dyDescent="0.25">
      <c r="K1268" s="46"/>
      <c r="L1268" s="46"/>
      <c r="M1268" s="46"/>
    </row>
    <row r="1269" spans="11:13" x14ac:dyDescent="0.25">
      <c r="K1269" s="46"/>
      <c r="L1269" s="46"/>
      <c r="M1269" s="46"/>
    </row>
    <row r="1270" spans="11:13" x14ac:dyDescent="0.25">
      <c r="K1270" s="46"/>
      <c r="L1270" s="46"/>
      <c r="M1270" s="46"/>
    </row>
    <row r="1271" spans="11:13" x14ac:dyDescent="0.25">
      <c r="K1271" s="46"/>
      <c r="L1271" s="46"/>
      <c r="M1271" s="46"/>
    </row>
    <row r="1272" spans="11:13" x14ac:dyDescent="0.25">
      <c r="K1272" s="46"/>
      <c r="L1272" s="46"/>
      <c r="M1272" s="46"/>
    </row>
    <row r="1273" spans="11:13" x14ac:dyDescent="0.25">
      <c r="K1273" s="46"/>
      <c r="L1273" s="46"/>
      <c r="M1273" s="46"/>
    </row>
    <row r="1274" spans="11:13" x14ac:dyDescent="0.25">
      <c r="K1274" s="46"/>
      <c r="L1274" s="46"/>
      <c r="M1274" s="46"/>
    </row>
    <row r="1275" spans="11:13" x14ac:dyDescent="0.25">
      <c r="K1275" s="46"/>
      <c r="L1275" s="46"/>
      <c r="M1275" s="46"/>
    </row>
    <row r="1276" spans="11:13" x14ac:dyDescent="0.25">
      <c r="K1276" s="46"/>
      <c r="L1276" s="46"/>
      <c r="M1276" s="46"/>
    </row>
    <row r="1277" spans="11:13" x14ac:dyDescent="0.25">
      <c r="K1277" s="46"/>
      <c r="L1277" s="46"/>
      <c r="M1277" s="46"/>
    </row>
    <row r="1278" spans="11:13" x14ac:dyDescent="0.25">
      <c r="K1278" s="46"/>
      <c r="L1278" s="46"/>
      <c r="M1278" s="46"/>
    </row>
    <row r="1279" spans="11:13" x14ac:dyDescent="0.25">
      <c r="K1279" s="46"/>
      <c r="L1279" s="46"/>
      <c r="M1279" s="46"/>
    </row>
    <row r="1280" spans="11:13" x14ac:dyDescent="0.25">
      <c r="K1280" s="46"/>
      <c r="L1280" s="46"/>
      <c r="M1280" s="46"/>
    </row>
    <row r="1281" spans="11:13" x14ac:dyDescent="0.25">
      <c r="K1281" s="46"/>
      <c r="L1281" s="46"/>
      <c r="M1281" s="46"/>
    </row>
    <row r="1282" spans="11:13" x14ac:dyDescent="0.25">
      <c r="K1282" s="46"/>
      <c r="L1282" s="46"/>
      <c r="M1282" s="46"/>
    </row>
    <row r="1283" spans="11:13" x14ac:dyDescent="0.25">
      <c r="K1283" s="46"/>
      <c r="L1283" s="46"/>
      <c r="M1283" s="46"/>
    </row>
    <row r="1284" spans="11:13" x14ac:dyDescent="0.25">
      <c r="K1284" s="46"/>
      <c r="L1284" s="46"/>
      <c r="M1284" s="46"/>
    </row>
    <row r="1285" spans="11:13" x14ac:dyDescent="0.25">
      <c r="K1285" s="46"/>
      <c r="L1285" s="46"/>
      <c r="M1285" s="46"/>
    </row>
    <row r="1286" spans="11:13" x14ac:dyDescent="0.25">
      <c r="K1286" s="46"/>
      <c r="L1286" s="46"/>
      <c r="M1286" s="46"/>
    </row>
    <row r="1287" spans="11:13" x14ac:dyDescent="0.25">
      <c r="K1287" s="46"/>
      <c r="L1287" s="46"/>
      <c r="M1287" s="46"/>
    </row>
    <row r="1288" spans="11:13" x14ac:dyDescent="0.25">
      <c r="K1288" s="46"/>
      <c r="L1288" s="46"/>
      <c r="M1288" s="46"/>
    </row>
    <row r="1289" spans="11:13" x14ac:dyDescent="0.25">
      <c r="K1289" s="46"/>
      <c r="L1289" s="46"/>
      <c r="M1289" s="46"/>
    </row>
    <row r="1290" spans="11:13" x14ac:dyDescent="0.25">
      <c r="K1290" s="46"/>
      <c r="L1290" s="46"/>
      <c r="M1290" s="46"/>
    </row>
    <row r="1291" spans="11:13" x14ac:dyDescent="0.25">
      <c r="K1291" s="46"/>
      <c r="L1291" s="46"/>
      <c r="M1291" s="46"/>
    </row>
    <row r="1292" spans="11:13" x14ac:dyDescent="0.25">
      <c r="K1292" s="46"/>
      <c r="L1292" s="46"/>
      <c r="M1292" s="46"/>
    </row>
    <row r="1293" spans="11:13" x14ac:dyDescent="0.25">
      <c r="K1293" s="46"/>
      <c r="L1293" s="46"/>
      <c r="M1293" s="46"/>
    </row>
    <row r="1294" spans="11:13" x14ac:dyDescent="0.25">
      <c r="K1294" s="46"/>
      <c r="L1294" s="46"/>
      <c r="M1294" s="46"/>
    </row>
    <row r="1295" spans="11:13" x14ac:dyDescent="0.25">
      <c r="K1295" s="46"/>
      <c r="L1295" s="46"/>
      <c r="M1295" s="46"/>
    </row>
    <row r="1296" spans="11:13" x14ac:dyDescent="0.25">
      <c r="K1296" s="46"/>
      <c r="L1296" s="46"/>
      <c r="M1296" s="46"/>
    </row>
    <row r="1297" spans="11:13" x14ac:dyDescent="0.25">
      <c r="K1297" s="46"/>
      <c r="L1297" s="46"/>
      <c r="M1297" s="46"/>
    </row>
    <row r="1298" spans="11:13" x14ac:dyDescent="0.25">
      <c r="K1298" s="46"/>
      <c r="L1298" s="46"/>
      <c r="M1298" s="46"/>
    </row>
    <row r="1299" spans="11:13" x14ac:dyDescent="0.25">
      <c r="K1299" s="46"/>
      <c r="L1299" s="46"/>
      <c r="M1299" s="46"/>
    </row>
    <row r="1300" spans="11:13" x14ac:dyDescent="0.25">
      <c r="K1300" s="46"/>
      <c r="L1300" s="46"/>
      <c r="M1300" s="46"/>
    </row>
    <row r="1301" spans="11:13" x14ac:dyDescent="0.25">
      <c r="K1301" s="46"/>
      <c r="L1301" s="46"/>
      <c r="M1301" s="46"/>
    </row>
    <row r="1302" spans="11:13" x14ac:dyDescent="0.25">
      <c r="K1302" s="46"/>
      <c r="L1302" s="46"/>
      <c r="M1302" s="46"/>
    </row>
    <row r="1303" spans="11:13" x14ac:dyDescent="0.25">
      <c r="K1303" s="46"/>
      <c r="L1303" s="46"/>
      <c r="M1303" s="46"/>
    </row>
    <row r="1304" spans="11:13" x14ac:dyDescent="0.25">
      <c r="K1304" s="46"/>
      <c r="L1304" s="46"/>
      <c r="M1304" s="46"/>
    </row>
    <row r="1305" spans="11:13" x14ac:dyDescent="0.25">
      <c r="K1305" s="46"/>
      <c r="L1305" s="46"/>
      <c r="M1305" s="46"/>
    </row>
    <row r="1306" spans="11:13" x14ac:dyDescent="0.25">
      <c r="K1306" s="46"/>
      <c r="L1306" s="46"/>
      <c r="M1306" s="46"/>
    </row>
    <row r="1307" spans="11:13" x14ac:dyDescent="0.25">
      <c r="K1307" s="46"/>
      <c r="L1307" s="46"/>
      <c r="M1307" s="46"/>
    </row>
    <row r="1308" spans="11:13" x14ac:dyDescent="0.25">
      <c r="K1308" s="46"/>
      <c r="L1308" s="46"/>
      <c r="M1308" s="46"/>
    </row>
    <row r="1309" spans="11:13" x14ac:dyDescent="0.25">
      <c r="K1309" s="46"/>
      <c r="L1309" s="46"/>
      <c r="M1309" s="46"/>
    </row>
    <row r="1310" spans="11:13" x14ac:dyDescent="0.25">
      <c r="K1310" s="46"/>
      <c r="L1310" s="46"/>
      <c r="M1310" s="46"/>
    </row>
    <row r="1311" spans="11:13" x14ac:dyDescent="0.25">
      <c r="K1311" s="46"/>
      <c r="L1311" s="46"/>
      <c r="M1311" s="46"/>
    </row>
    <row r="1312" spans="11:13" x14ac:dyDescent="0.25">
      <c r="K1312" s="46"/>
      <c r="L1312" s="46"/>
      <c r="M1312" s="46"/>
    </row>
    <row r="1313" spans="11:13" x14ac:dyDescent="0.25">
      <c r="K1313" s="46"/>
      <c r="L1313" s="46"/>
      <c r="M1313" s="46"/>
    </row>
    <row r="1314" spans="11:13" x14ac:dyDescent="0.25">
      <c r="K1314" s="46"/>
      <c r="L1314" s="46"/>
      <c r="M1314" s="46"/>
    </row>
    <row r="1315" spans="11:13" x14ac:dyDescent="0.25">
      <c r="K1315" s="46"/>
      <c r="L1315" s="46"/>
      <c r="M1315" s="46"/>
    </row>
    <row r="1316" spans="11:13" x14ac:dyDescent="0.25">
      <c r="K1316" s="46"/>
      <c r="L1316" s="46"/>
      <c r="M1316" s="46"/>
    </row>
    <row r="1317" spans="11:13" x14ac:dyDescent="0.25">
      <c r="K1317" s="46"/>
      <c r="L1317" s="46"/>
      <c r="M1317" s="46"/>
    </row>
    <row r="1318" spans="11:13" x14ac:dyDescent="0.25">
      <c r="K1318" s="46"/>
      <c r="L1318" s="46"/>
      <c r="M1318" s="46"/>
    </row>
    <row r="1319" spans="11:13" x14ac:dyDescent="0.25">
      <c r="K1319" s="46"/>
      <c r="L1319" s="46"/>
      <c r="M1319" s="46"/>
    </row>
    <row r="1320" spans="11:13" x14ac:dyDescent="0.25">
      <c r="K1320" s="46"/>
      <c r="L1320" s="46"/>
      <c r="M1320" s="46"/>
    </row>
    <row r="1321" spans="11:13" x14ac:dyDescent="0.25">
      <c r="K1321" s="46"/>
      <c r="L1321" s="46"/>
      <c r="M1321" s="46"/>
    </row>
    <row r="1322" spans="11:13" x14ac:dyDescent="0.25">
      <c r="K1322" s="46"/>
      <c r="L1322" s="46"/>
      <c r="M1322" s="46"/>
    </row>
    <row r="1323" spans="11:13" x14ac:dyDescent="0.25">
      <c r="K1323" s="46"/>
      <c r="L1323" s="46"/>
      <c r="M1323" s="46"/>
    </row>
    <row r="1324" spans="11:13" x14ac:dyDescent="0.25">
      <c r="K1324" s="46"/>
      <c r="L1324" s="46"/>
      <c r="M1324" s="46"/>
    </row>
    <row r="1325" spans="11:13" x14ac:dyDescent="0.25">
      <c r="K1325" s="46"/>
      <c r="L1325" s="46"/>
      <c r="M1325" s="46"/>
    </row>
    <row r="1326" spans="11:13" x14ac:dyDescent="0.25">
      <c r="K1326" s="46"/>
      <c r="L1326" s="46"/>
      <c r="M1326" s="46"/>
    </row>
    <row r="1327" spans="11:13" x14ac:dyDescent="0.25">
      <c r="K1327" s="46"/>
      <c r="L1327" s="46"/>
      <c r="M1327" s="46"/>
    </row>
    <row r="1328" spans="11:13" x14ac:dyDescent="0.25">
      <c r="K1328" s="46"/>
      <c r="L1328" s="46"/>
      <c r="M1328" s="46"/>
    </row>
    <row r="1329" spans="11:13" x14ac:dyDescent="0.25">
      <c r="K1329" s="46"/>
      <c r="L1329" s="46"/>
      <c r="M1329" s="46"/>
    </row>
    <row r="1330" spans="11:13" x14ac:dyDescent="0.25">
      <c r="K1330" s="46"/>
      <c r="L1330" s="46"/>
      <c r="M1330" s="46"/>
    </row>
    <row r="1331" spans="11:13" x14ac:dyDescent="0.25">
      <c r="K1331" s="46"/>
      <c r="L1331" s="46"/>
      <c r="M1331" s="46"/>
    </row>
    <row r="1332" spans="11:13" x14ac:dyDescent="0.25">
      <c r="K1332" s="46"/>
      <c r="L1332" s="46"/>
      <c r="M1332" s="46"/>
    </row>
    <row r="1333" spans="11:13" x14ac:dyDescent="0.25">
      <c r="K1333" s="46"/>
      <c r="L1333" s="46"/>
      <c r="M1333" s="46"/>
    </row>
    <row r="1334" spans="11:13" x14ac:dyDescent="0.25">
      <c r="K1334" s="46"/>
      <c r="L1334" s="46"/>
      <c r="M1334" s="46"/>
    </row>
    <row r="1335" spans="11:13" x14ac:dyDescent="0.25">
      <c r="K1335" s="46"/>
      <c r="L1335" s="46"/>
      <c r="M1335" s="46"/>
    </row>
    <row r="1336" spans="11:13" x14ac:dyDescent="0.25">
      <c r="K1336" s="46"/>
      <c r="L1336" s="46"/>
      <c r="M1336" s="46"/>
    </row>
    <row r="1337" spans="11:13" x14ac:dyDescent="0.25">
      <c r="K1337" s="46"/>
      <c r="L1337" s="46"/>
      <c r="M1337" s="46"/>
    </row>
    <row r="1338" spans="11:13" x14ac:dyDescent="0.25">
      <c r="K1338" s="46"/>
      <c r="L1338" s="46"/>
      <c r="M1338" s="46"/>
    </row>
    <row r="1339" spans="11:13" x14ac:dyDescent="0.25">
      <c r="K1339" s="46"/>
      <c r="L1339" s="46"/>
      <c r="M1339" s="46"/>
    </row>
    <row r="1340" spans="11:13" x14ac:dyDescent="0.25">
      <c r="K1340" s="46"/>
      <c r="L1340" s="46"/>
      <c r="M1340" s="46"/>
    </row>
    <row r="1341" spans="11:13" x14ac:dyDescent="0.25">
      <c r="K1341" s="46"/>
      <c r="L1341" s="46"/>
      <c r="M1341" s="46"/>
    </row>
    <row r="1342" spans="11:13" x14ac:dyDescent="0.25">
      <c r="K1342" s="46"/>
      <c r="L1342" s="46"/>
      <c r="M1342" s="46"/>
    </row>
    <row r="1343" spans="11:13" x14ac:dyDescent="0.25">
      <c r="K1343" s="46"/>
      <c r="L1343" s="46"/>
      <c r="M1343" s="46"/>
    </row>
    <row r="1344" spans="11:13" x14ac:dyDescent="0.25">
      <c r="K1344" s="46"/>
      <c r="L1344" s="46"/>
      <c r="M1344" s="46"/>
    </row>
    <row r="1345" spans="11:13" x14ac:dyDescent="0.25">
      <c r="K1345" s="46"/>
      <c r="L1345" s="46"/>
      <c r="M1345" s="46"/>
    </row>
    <row r="1346" spans="11:13" x14ac:dyDescent="0.25">
      <c r="K1346" s="46"/>
      <c r="L1346" s="46"/>
      <c r="M1346" s="46"/>
    </row>
    <row r="1347" spans="11:13" x14ac:dyDescent="0.25">
      <c r="K1347" s="46"/>
      <c r="L1347" s="46"/>
      <c r="M1347" s="46"/>
    </row>
    <row r="1348" spans="11:13" x14ac:dyDescent="0.25">
      <c r="K1348" s="46"/>
      <c r="L1348" s="46"/>
      <c r="M1348" s="46"/>
    </row>
    <row r="1349" spans="11:13" x14ac:dyDescent="0.25">
      <c r="K1349" s="46"/>
      <c r="L1349" s="46"/>
      <c r="M1349" s="46"/>
    </row>
    <row r="1350" spans="11:13" x14ac:dyDescent="0.25">
      <c r="K1350" s="46"/>
      <c r="L1350" s="46"/>
      <c r="M1350" s="46"/>
    </row>
    <row r="1351" spans="11:13" x14ac:dyDescent="0.25">
      <c r="K1351" s="46"/>
      <c r="L1351" s="46"/>
      <c r="M1351" s="46"/>
    </row>
    <row r="1352" spans="11:13" x14ac:dyDescent="0.25">
      <c r="K1352" s="46"/>
      <c r="L1352" s="46"/>
      <c r="M1352" s="46"/>
    </row>
    <row r="1353" spans="11:13" x14ac:dyDescent="0.25">
      <c r="K1353" s="46"/>
      <c r="L1353" s="46"/>
      <c r="M1353" s="46"/>
    </row>
    <row r="1354" spans="11:13" x14ac:dyDescent="0.25">
      <c r="K1354" s="46"/>
      <c r="L1354" s="46"/>
      <c r="M1354" s="46"/>
    </row>
    <row r="1355" spans="11:13" x14ac:dyDescent="0.25">
      <c r="K1355" s="46"/>
      <c r="L1355" s="46"/>
      <c r="M1355" s="46"/>
    </row>
    <row r="1356" spans="11:13" x14ac:dyDescent="0.25">
      <c r="K1356" s="46"/>
      <c r="L1356" s="46"/>
      <c r="M1356" s="46"/>
    </row>
    <row r="1357" spans="11:13" x14ac:dyDescent="0.25">
      <c r="K1357" s="46"/>
      <c r="L1357" s="46"/>
      <c r="M1357" s="46"/>
    </row>
    <row r="1358" spans="11:13" x14ac:dyDescent="0.25">
      <c r="K1358" s="46"/>
      <c r="L1358" s="46"/>
      <c r="M1358" s="46"/>
    </row>
    <row r="1359" spans="11:13" x14ac:dyDescent="0.25">
      <c r="K1359" s="46"/>
      <c r="L1359" s="46"/>
      <c r="M1359" s="46"/>
    </row>
    <row r="1360" spans="11:13" x14ac:dyDescent="0.25">
      <c r="K1360" s="46"/>
      <c r="L1360" s="46"/>
      <c r="M1360" s="46"/>
    </row>
    <row r="1361" spans="11:13" x14ac:dyDescent="0.25">
      <c r="K1361" s="46"/>
      <c r="L1361" s="46"/>
      <c r="M1361" s="46"/>
    </row>
    <row r="1362" spans="11:13" x14ac:dyDescent="0.25">
      <c r="K1362" s="46"/>
      <c r="L1362" s="46"/>
      <c r="M1362" s="46"/>
    </row>
    <row r="1363" spans="11:13" x14ac:dyDescent="0.25">
      <c r="K1363" s="46"/>
      <c r="L1363" s="46"/>
      <c r="M1363" s="46"/>
    </row>
    <row r="1364" spans="11:13" x14ac:dyDescent="0.25">
      <c r="K1364" s="46"/>
      <c r="L1364" s="46"/>
      <c r="M1364" s="46"/>
    </row>
    <row r="1365" spans="11:13" x14ac:dyDescent="0.25">
      <c r="K1365" s="46"/>
      <c r="L1365" s="46"/>
      <c r="M1365" s="46"/>
    </row>
    <row r="1366" spans="11:13" x14ac:dyDescent="0.25">
      <c r="K1366" s="46"/>
      <c r="L1366" s="46"/>
      <c r="M1366" s="46"/>
    </row>
    <row r="1367" spans="11:13" x14ac:dyDescent="0.25">
      <c r="K1367" s="46"/>
      <c r="L1367" s="46"/>
      <c r="M1367" s="46"/>
    </row>
    <row r="1368" spans="11:13" x14ac:dyDescent="0.25">
      <c r="K1368" s="46"/>
      <c r="L1368" s="46"/>
      <c r="M1368" s="46"/>
    </row>
    <row r="1369" spans="11:13" x14ac:dyDescent="0.25">
      <c r="K1369" s="46"/>
      <c r="L1369" s="46"/>
      <c r="M1369" s="46"/>
    </row>
    <row r="1370" spans="11:13" x14ac:dyDescent="0.25">
      <c r="K1370" s="46"/>
      <c r="L1370" s="46"/>
      <c r="M1370" s="46"/>
    </row>
    <row r="1371" spans="11:13" x14ac:dyDescent="0.25">
      <c r="K1371" s="46"/>
      <c r="L1371" s="46"/>
      <c r="M1371" s="46"/>
    </row>
    <row r="1372" spans="11:13" x14ac:dyDescent="0.25">
      <c r="K1372" s="46"/>
      <c r="L1372" s="46"/>
      <c r="M1372" s="46"/>
    </row>
    <row r="1373" spans="11:13" x14ac:dyDescent="0.25">
      <c r="K1373" s="46"/>
      <c r="L1373" s="46"/>
      <c r="M1373" s="46"/>
    </row>
    <row r="1374" spans="11:13" x14ac:dyDescent="0.25">
      <c r="K1374" s="46"/>
      <c r="L1374" s="46"/>
      <c r="M1374" s="46"/>
    </row>
    <row r="1375" spans="11:13" x14ac:dyDescent="0.25">
      <c r="K1375" s="46"/>
      <c r="L1375" s="46"/>
      <c r="M1375" s="46"/>
    </row>
    <row r="1376" spans="11:13" x14ac:dyDescent="0.25">
      <c r="K1376" s="46"/>
      <c r="L1376" s="46"/>
      <c r="M1376" s="46"/>
    </row>
    <row r="1377" spans="11:13" x14ac:dyDescent="0.25">
      <c r="K1377" s="46"/>
      <c r="L1377" s="46"/>
      <c r="M1377" s="46"/>
    </row>
    <row r="1378" spans="11:13" x14ac:dyDescent="0.25">
      <c r="K1378" s="46"/>
      <c r="L1378" s="46"/>
      <c r="M1378" s="46"/>
    </row>
    <row r="1379" spans="11:13" x14ac:dyDescent="0.25">
      <c r="K1379" s="46"/>
      <c r="L1379" s="46"/>
      <c r="M1379" s="46"/>
    </row>
    <row r="1380" spans="11:13" x14ac:dyDescent="0.25">
      <c r="K1380" s="46"/>
      <c r="L1380" s="46"/>
      <c r="M1380" s="46"/>
    </row>
    <row r="1381" spans="11:13" x14ac:dyDescent="0.25">
      <c r="K1381" s="46"/>
      <c r="L1381" s="46"/>
      <c r="M1381" s="46"/>
    </row>
    <row r="1382" spans="11:13" x14ac:dyDescent="0.25">
      <c r="K1382" s="46"/>
      <c r="L1382" s="46"/>
      <c r="M1382" s="46"/>
    </row>
    <row r="1383" spans="11:13" x14ac:dyDescent="0.25">
      <c r="K1383" s="46"/>
      <c r="L1383" s="46"/>
      <c r="M1383" s="46"/>
    </row>
    <row r="1384" spans="11:13" x14ac:dyDescent="0.25">
      <c r="K1384" s="46"/>
      <c r="L1384" s="46"/>
      <c r="M1384" s="46"/>
    </row>
    <row r="1385" spans="11:13" x14ac:dyDescent="0.25">
      <c r="K1385" s="46"/>
      <c r="L1385" s="46"/>
      <c r="M1385" s="46"/>
    </row>
    <row r="1386" spans="11:13" x14ac:dyDescent="0.25">
      <c r="K1386" s="46"/>
      <c r="L1386" s="46"/>
      <c r="M1386" s="46"/>
    </row>
    <row r="1387" spans="11:13" x14ac:dyDescent="0.25">
      <c r="K1387" s="46"/>
      <c r="L1387" s="46"/>
      <c r="M1387" s="46"/>
    </row>
    <row r="1388" spans="11:13" x14ac:dyDescent="0.25">
      <c r="K1388" s="46"/>
      <c r="L1388" s="46"/>
      <c r="M1388" s="46"/>
    </row>
    <row r="1389" spans="11:13" x14ac:dyDescent="0.25">
      <c r="K1389" s="46"/>
      <c r="L1389" s="46"/>
      <c r="M1389" s="46"/>
    </row>
    <row r="1390" spans="11:13" x14ac:dyDescent="0.25">
      <c r="K1390" s="46"/>
      <c r="L1390" s="46"/>
      <c r="M1390" s="46"/>
    </row>
    <row r="1391" spans="11:13" x14ac:dyDescent="0.25">
      <c r="K1391" s="46"/>
      <c r="L1391" s="46"/>
      <c r="M1391" s="46"/>
    </row>
    <row r="1392" spans="11:13" x14ac:dyDescent="0.25">
      <c r="K1392" s="46"/>
      <c r="L1392" s="46"/>
      <c r="M1392" s="46"/>
    </row>
    <row r="1393" spans="11:13" x14ac:dyDescent="0.25">
      <c r="K1393" s="46"/>
      <c r="L1393" s="46"/>
      <c r="M1393" s="46"/>
    </row>
    <row r="1394" spans="11:13" x14ac:dyDescent="0.25">
      <c r="K1394" s="46"/>
      <c r="L1394" s="46"/>
      <c r="M1394" s="46"/>
    </row>
    <row r="1395" spans="11:13" x14ac:dyDescent="0.25">
      <c r="K1395" s="46"/>
      <c r="L1395" s="46"/>
      <c r="M1395" s="46"/>
    </row>
    <row r="1396" spans="11:13" x14ac:dyDescent="0.25">
      <c r="K1396" s="46"/>
      <c r="L1396" s="46"/>
      <c r="M1396" s="46"/>
    </row>
    <row r="1397" spans="11:13" x14ac:dyDescent="0.25">
      <c r="K1397" s="46"/>
      <c r="L1397" s="46"/>
      <c r="M1397" s="46"/>
    </row>
    <row r="1398" spans="11:13" x14ac:dyDescent="0.25">
      <c r="K1398" s="46"/>
      <c r="L1398" s="46"/>
      <c r="M1398" s="46"/>
    </row>
    <row r="1399" spans="11:13" x14ac:dyDescent="0.25">
      <c r="K1399" s="46"/>
      <c r="L1399" s="46"/>
      <c r="M1399" s="46"/>
    </row>
    <row r="1400" spans="11:13" x14ac:dyDescent="0.25">
      <c r="K1400" s="46"/>
      <c r="L1400" s="46"/>
      <c r="M1400" s="46"/>
    </row>
    <row r="1401" spans="11:13" x14ac:dyDescent="0.25">
      <c r="K1401" s="46"/>
      <c r="L1401" s="46"/>
      <c r="M1401" s="46"/>
    </row>
    <row r="1402" spans="11:13" x14ac:dyDescent="0.25">
      <c r="K1402" s="46"/>
      <c r="L1402" s="46"/>
      <c r="M1402" s="46"/>
    </row>
    <row r="1403" spans="11:13" x14ac:dyDescent="0.25">
      <c r="K1403" s="46"/>
      <c r="L1403" s="46"/>
      <c r="M1403" s="46"/>
    </row>
    <row r="1404" spans="11:13" x14ac:dyDescent="0.25">
      <c r="K1404" s="46"/>
      <c r="L1404" s="46"/>
      <c r="M1404" s="46"/>
    </row>
    <row r="1405" spans="11:13" x14ac:dyDescent="0.25">
      <c r="K1405" s="46"/>
      <c r="L1405" s="46"/>
      <c r="M1405" s="46"/>
    </row>
    <row r="1406" spans="11:13" x14ac:dyDescent="0.25">
      <c r="K1406" s="46"/>
      <c r="L1406" s="46"/>
      <c r="M1406" s="46"/>
    </row>
    <row r="1407" spans="11:13" x14ac:dyDescent="0.25">
      <c r="K1407" s="46"/>
      <c r="L1407" s="46"/>
      <c r="M1407" s="46"/>
    </row>
    <row r="1408" spans="11:13" x14ac:dyDescent="0.25">
      <c r="K1408" s="46"/>
      <c r="L1408" s="46"/>
      <c r="M1408" s="46"/>
    </row>
    <row r="1409" spans="11:13" x14ac:dyDescent="0.25">
      <c r="K1409" s="46"/>
      <c r="L1409" s="46"/>
      <c r="M1409" s="46"/>
    </row>
    <row r="1410" spans="11:13" x14ac:dyDescent="0.25">
      <c r="K1410" s="46"/>
      <c r="L1410" s="46"/>
      <c r="M1410" s="46"/>
    </row>
    <row r="1411" spans="11:13" x14ac:dyDescent="0.25">
      <c r="K1411" s="46"/>
      <c r="L1411" s="46"/>
      <c r="M1411" s="46"/>
    </row>
    <row r="1412" spans="11:13" x14ac:dyDescent="0.25">
      <c r="K1412" s="46"/>
      <c r="L1412" s="46"/>
      <c r="M1412" s="46"/>
    </row>
    <row r="1413" spans="11:13" x14ac:dyDescent="0.25">
      <c r="K1413" s="46"/>
      <c r="L1413" s="46"/>
      <c r="M1413" s="46"/>
    </row>
    <row r="1414" spans="11:13" x14ac:dyDescent="0.25">
      <c r="K1414" s="46"/>
      <c r="L1414" s="46"/>
      <c r="M1414" s="46"/>
    </row>
    <row r="1415" spans="11:13" x14ac:dyDescent="0.25">
      <c r="K1415" s="46"/>
      <c r="L1415" s="46"/>
      <c r="M1415" s="46"/>
    </row>
    <row r="1416" spans="11:13" x14ac:dyDescent="0.25">
      <c r="K1416" s="46"/>
      <c r="L1416" s="46"/>
      <c r="M1416" s="46"/>
    </row>
    <row r="1417" spans="11:13" x14ac:dyDescent="0.25">
      <c r="K1417" s="46"/>
      <c r="L1417" s="46"/>
      <c r="M1417" s="46"/>
    </row>
    <row r="1418" spans="11:13" x14ac:dyDescent="0.25">
      <c r="K1418" s="46"/>
      <c r="L1418" s="46"/>
      <c r="M1418" s="46"/>
    </row>
    <row r="1419" spans="11:13" x14ac:dyDescent="0.25">
      <c r="K1419" s="46"/>
      <c r="L1419" s="46"/>
      <c r="M1419" s="46"/>
    </row>
    <row r="1420" spans="11:13" x14ac:dyDescent="0.25">
      <c r="K1420" s="46"/>
      <c r="L1420" s="46"/>
      <c r="M1420" s="46"/>
    </row>
    <row r="1421" spans="11:13" x14ac:dyDescent="0.25">
      <c r="K1421" s="46"/>
      <c r="L1421" s="46"/>
      <c r="M1421" s="46"/>
    </row>
    <row r="1422" spans="11:13" x14ac:dyDescent="0.25">
      <c r="K1422" s="46"/>
      <c r="L1422" s="46"/>
      <c r="M1422" s="46"/>
    </row>
    <row r="1423" spans="11:13" x14ac:dyDescent="0.25">
      <c r="K1423" s="46"/>
      <c r="L1423" s="46"/>
      <c r="M1423" s="46"/>
    </row>
    <row r="1424" spans="11:13" x14ac:dyDescent="0.25">
      <c r="K1424" s="46"/>
      <c r="L1424" s="46"/>
      <c r="M1424" s="46"/>
    </row>
    <row r="1425" spans="11:13" x14ac:dyDescent="0.25">
      <c r="K1425" s="46"/>
      <c r="L1425" s="46"/>
      <c r="M1425" s="46"/>
    </row>
    <row r="1426" spans="11:13" x14ac:dyDescent="0.25">
      <c r="K1426" s="46"/>
      <c r="L1426" s="46"/>
      <c r="M1426" s="46"/>
    </row>
    <row r="1427" spans="11:13" x14ac:dyDescent="0.25">
      <c r="K1427" s="46"/>
      <c r="L1427" s="46"/>
      <c r="M1427" s="46"/>
    </row>
    <row r="1428" spans="11:13" x14ac:dyDescent="0.25">
      <c r="K1428" s="46"/>
      <c r="L1428" s="46"/>
      <c r="M1428" s="46"/>
    </row>
    <row r="1429" spans="11:13" x14ac:dyDescent="0.25">
      <c r="K1429" s="46"/>
      <c r="L1429" s="46"/>
      <c r="M1429" s="46"/>
    </row>
    <row r="1430" spans="11:13" x14ac:dyDescent="0.25">
      <c r="K1430" s="46"/>
      <c r="L1430" s="46"/>
      <c r="M1430" s="46"/>
    </row>
    <row r="1431" spans="11:13" x14ac:dyDescent="0.25">
      <c r="K1431" s="46"/>
      <c r="L1431" s="46"/>
      <c r="M1431" s="46"/>
    </row>
    <row r="1432" spans="11:13" x14ac:dyDescent="0.25">
      <c r="K1432" s="46"/>
      <c r="L1432" s="46"/>
      <c r="M1432" s="46"/>
    </row>
    <row r="1433" spans="11:13" x14ac:dyDescent="0.25">
      <c r="K1433" s="46"/>
      <c r="L1433" s="46"/>
      <c r="M1433" s="46"/>
    </row>
    <row r="1434" spans="11:13" x14ac:dyDescent="0.25">
      <c r="K1434" s="46"/>
      <c r="L1434" s="46"/>
      <c r="M1434" s="46"/>
    </row>
    <row r="1435" spans="11:13" x14ac:dyDescent="0.25">
      <c r="K1435" s="46"/>
      <c r="L1435" s="46"/>
      <c r="M1435" s="46"/>
    </row>
    <row r="1436" spans="11:13" x14ac:dyDescent="0.25">
      <c r="K1436" s="46"/>
      <c r="L1436" s="46"/>
      <c r="M1436" s="46"/>
    </row>
    <row r="1437" spans="11:13" x14ac:dyDescent="0.25">
      <c r="K1437" s="46"/>
      <c r="L1437" s="46"/>
      <c r="M1437" s="46"/>
    </row>
    <row r="1438" spans="11:13" x14ac:dyDescent="0.25">
      <c r="K1438" s="46"/>
      <c r="L1438" s="46"/>
      <c r="M1438" s="46"/>
    </row>
    <row r="1439" spans="11:13" x14ac:dyDescent="0.25">
      <c r="K1439" s="46"/>
      <c r="L1439" s="46"/>
      <c r="M1439" s="46"/>
    </row>
    <row r="1440" spans="11:13" x14ac:dyDescent="0.25">
      <c r="K1440" s="46"/>
      <c r="L1440" s="46"/>
      <c r="M1440" s="46"/>
    </row>
    <row r="1441" spans="11:13" x14ac:dyDescent="0.25">
      <c r="K1441" s="46"/>
      <c r="L1441" s="46"/>
      <c r="M1441" s="46"/>
    </row>
    <row r="1442" spans="11:13" x14ac:dyDescent="0.25">
      <c r="K1442" s="46"/>
      <c r="L1442" s="46"/>
      <c r="M1442" s="46"/>
    </row>
    <row r="1443" spans="11:13" x14ac:dyDescent="0.25">
      <c r="K1443" s="46"/>
      <c r="L1443" s="46"/>
      <c r="M1443" s="46"/>
    </row>
    <row r="1444" spans="11:13" x14ac:dyDescent="0.25">
      <c r="K1444" s="46"/>
      <c r="L1444" s="46"/>
      <c r="M1444" s="46"/>
    </row>
    <row r="1445" spans="11:13" x14ac:dyDescent="0.25">
      <c r="K1445" s="46"/>
      <c r="L1445" s="46"/>
      <c r="M1445" s="46"/>
    </row>
    <row r="1446" spans="11:13" x14ac:dyDescent="0.25">
      <c r="K1446" s="46"/>
      <c r="L1446" s="46"/>
      <c r="M1446" s="46"/>
    </row>
    <row r="1447" spans="11:13" x14ac:dyDescent="0.25">
      <c r="K1447" s="46"/>
      <c r="L1447" s="46"/>
      <c r="M1447" s="46"/>
    </row>
    <row r="1448" spans="11:13" x14ac:dyDescent="0.25">
      <c r="K1448" s="46"/>
      <c r="L1448" s="46"/>
      <c r="M1448" s="46"/>
    </row>
    <row r="1449" spans="11:13" x14ac:dyDescent="0.25">
      <c r="K1449" s="46"/>
      <c r="L1449" s="46"/>
      <c r="M1449" s="46"/>
    </row>
    <row r="1450" spans="11:13" x14ac:dyDescent="0.25">
      <c r="K1450" s="46"/>
      <c r="L1450" s="46"/>
      <c r="M1450" s="46"/>
    </row>
    <row r="1451" spans="11:13" x14ac:dyDescent="0.25">
      <c r="K1451" s="46"/>
      <c r="L1451" s="46"/>
      <c r="M1451" s="46"/>
    </row>
    <row r="1452" spans="11:13" x14ac:dyDescent="0.25">
      <c r="K1452" s="46"/>
      <c r="L1452" s="46"/>
      <c r="M1452" s="46"/>
    </row>
    <row r="1453" spans="11:13" x14ac:dyDescent="0.25">
      <c r="K1453" s="46"/>
      <c r="L1453" s="46"/>
      <c r="M1453" s="46"/>
    </row>
    <row r="1454" spans="11:13" x14ac:dyDescent="0.25">
      <c r="K1454" s="46"/>
      <c r="L1454" s="46"/>
      <c r="M1454" s="46"/>
    </row>
    <row r="1455" spans="11:13" x14ac:dyDescent="0.25">
      <c r="K1455" s="46"/>
      <c r="L1455" s="46"/>
      <c r="M1455" s="46"/>
    </row>
    <row r="1456" spans="11:13" x14ac:dyDescent="0.25">
      <c r="K1456" s="46"/>
      <c r="L1456" s="46"/>
      <c r="M1456" s="46"/>
    </row>
    <row r="1457" spans="11:13" x14ac:dyDescent="0.25">
      <c r="K1457" s="46"/>
      <c r="L1457" s="46"/>
      <c r="M1457" s="46"/>
    </row>
    <row r="1458" spans="11:13" x14ac:dyDescent="0.25">
      <c r="K1458" s="46"/>
      <c r="L1458" s="46"/>
      <c r="M1458" s="46"/>
    </row>
    <row r="1459" spans="11:13" x14ac:dyDescent="0.25">
      <c r="K1459" s="46"/>
      <c r="L1459" s="46"/>
      <c r="M1459" s="46"/>
    </row>
    <row r="1460" spans="11:13" x14ac:dyDescent="0.25">
      <c r="K1460" s="46"/>
      <c r="L1460" s="46"/>
      <c r="M1460" s="46"/>
    </row>
    <row r="1461" spans="11:13" x14ac:dyDescent="0.25">
      <c r="K1461" s="46"/>
      <c r="L1461" s="46"/>
      <c r="M1461" s="46"/>
    </row>
    <row r="1462" spans="11:13" x14ac:dyDescent="0.25">
      <c r="K1462" s="46"/>
      <c r="L1462" s="46"/>
      <c r="M1462" s="46"/>
    </row>
    <row r="1463" spans="11:13" x14ac:dyDescent="0.25">
      <c r="K1463" s="46"/>
      <c r="L1463" s="46"/>
      <c r="M1463" s="46"/>
    </row>
    <row r="1464" spans="11:13" x14ac:dyDescent="0.25">
      <c r="K1464" s="46"/>
      <c r="L1464" s="46"/>
      <c r="M1464" s="46"/>
    </row>
    <row r="1465" spans="11:13" x14ac:dyDescent="0.25">
      <c r="K1465" s="46"/>
      <c r="L1465" s="46"/>
      <c r="M1465" s="46"/>
    </row>
    <row r="1466" spans="11:13" x14ac:dyDescent="0.25">
      <c r="K1466" s="46"/>
      <c r="L1466" s="46"/>
      <c r="M1466" s="46"/>
    </row>
    <row r="1467" spans="11:13" x14ac:dyDescent="0.25">
      <c r="K1467" s="46"/>
      <c r="L1467" s="46"/>
      <c r="M1467" s="46"/>
    </row>
    <row r="1468" spans="11:13" x14ac:dyDescent="0.25">
      <c r="K1468" s="46"/>
      <c r="L1468" s="46"/>
      <c r="M1468" s="46"/>
    </row>
    <row r="1469" spans="11:13" x14ac:dyDescent="0.25">
      <c r="K1469" s="46"/>
      <c r="L1469" s="46"/>
      <c r="M1469" s="46"/>
    </row>
    <row r="1470" spans="11:13" x14ac:dyDescent="0.25">
      <c r="K1470" s="46"/>
      <c r="L1470" s="46"/>
      <c r="M1470" s="46"/>
    </row>
    <row r="1471" spans="11:13" x14ac:dyDescent="0.25">
      <c r="K1471" s="46"/>
      <c r="L1471" s="46"/>
      <c r="M1471" s="46"/>
    </row>
    <row r="1472" spans="11:13" x14ac:dyDescent="0.25">
      <c r="K1472" s="46"/>
      <c r="L1472" s="46"/>
      <c r="M1472" s="46"/>
    </row>
    <row r="1473" spans="11:13" x14ac:dyDescent="0.25">
      <c r="K1473" s="46"/>
      <c r="L1473" s="46"/>
      <c r="M1473" s="46"/>
    </row>
    <row r="1474" spans="11:13" x14ac:dyDescent="0.25">
      <c r="K1474" s="46"/>
      <c r="L1474" s="46"/>
      <c r="M1474" s="46"/>
    </row>
    <row r="1475" spans="11:13" x14ac:dyDescent="0.25">
      <c r="K1475" s="46"/>
      <c r="L1475" s="46"/>
      <c r="M1475" s="46"/>
    </row>
    <row r="1476" spans="11:13" x14ac:dyDescent="0.25">
      <c r="K1476" s="46"/>
      <c r="L1476" s="46"/>
      <c r="M1476" s="46"/>
    </row>
    <row r="1477" spans="11:13" x14ac:dyDescent="0.25">
      <c r="K1477" s="46"/>
      <c r="L1477" s="46"/>
      <c r="M1477" s="46"/>
    </row>
    <row r="1478" spans="11:13" x14ac:dyDescent="0.25">
      <c r="K1478" s="46"/>
      <c r="L1478" s="46"/>
      <c r="M1478" s="46"/>
    </row>
    <row r="1479" spans="11:13" x14ac:dyDescent="0.25">
      <c r="K1479" s="46"/>
      <c r="L1479" s="46"/>
      <c r="M1479" s="46"/>
    </row>
    <row r="1480" spans="11:13" x14ac:dyDescent="0.25">
      <c r="K1480" s="46"/>
      <c r="L1480" s="46"/>
      <c r="M1480" s="46"/>
    </row>
    <row r="1481" spans="11:13" x14ac:dyDescent="0.25">
      <c r="K1481" s="46"/>
      <c r="L1481" s="46"/>
      <c r="M1481" s="46"/>
    </row>
    <row r="1482" spans="11:13" x14ac:dyDescent="0.25">
      <c r="K1482" s="46"/>
      <c r="L1482" s="46"/>
      <c r="M1482" s="46"/>
    </row>
    <row r="1483" spans="11:13" x14ac:dyDescent="0.25">
      <c r="K1483" s="46"/>
      <c r="L1483" s="46"/>
      <c r="M1483" s="46"/>
    </row>
    <row r="1484" spans="11:13" x14ac:dyDescent="0.25">
      <c r="K1484" s="46"/>
      <c r="L1484" s="46"/>
      <c r="M1484" s="46"/>
    </row>
    <row r="1485" spans="11:13" x14ac:dyDescent="0.25">
      <c r="K1485" s="46"/>
      <c r="L1485" s="46"/>
      <c r="M1485" s="46"/>
    </row>
    <row r="1486" spans="11:13" x14ac:dyDescent="0.25">
      <c r="K1486" s="46"/>
      <c r="L1486" s="46"/>
      <c r="M1486" s="46"/>
    </row>
    <row r="1487" spans="11:13" x14ac:dyDescent="0.25">
      <c r="K1487" s="46"/>
      <c r="L1487" s="46"/>
      <c r="M1487" s="46"/>
    </row>
    <row r="1488" spans="11:13" x14ac:dyDescent="0.25">
      <c r="K1488" s="46"/>
      <c r="L1488" s="46"/>
      <c r="M1488" s="46"/>
    </row>
    <row r="1489" spans="11:13" x14ac:dyDescent="0.25">
      <c r="K1489" s="46"/>
      <c r="L1489" s="46"/>
      <c r="M1489" s="46"/>
    </row>
    <row r="1490" spans="11:13" x14ac:dyDescent="0.25">
      <c r="K1490" s="46"/>
      <c r="L1490" s="46"/>
      <c r="M1490" s="46"/>
    </row>
    <row r="1491" spans="11:13" x14ac:dyDescent="0.25">
      <c r="K1491" s="46"/>
      <c r="L1491" s="46"/>
      <c r="M1491" s="46"/>
    </row>
    <row r="1492" spans="11:13" x14ac:dyDescent="0.25">
      <c r="K1492" s="46"/>
      <c r="L1492" s="46"/>
      <c r="M1492" s="46"/>
    </row>
    <row r="1493" spans="11:13" x14ac:dyDescent="0.25">
      <c r="K1493" s="46"/>
      <c r="L1493" s="46"/>
      <c r="M1493" s="46"/>
    </row>
    <row r="1494" spans="11:13" x14ac:dyDescent="0.25">
      <c r="K1494" s="46"/>
      <c r="L1494" s="46"/>
      <c r="M1494" s="46"/>
    </row>
    <row r="1495" spans="11:13" x14ac:dyDescent="0.25">
      <c r="K1495" s="46"/>
      <c r="L1495" s="46"/>
      <c r="M1495" s="46"/>
    </row>
    <row r="1496" spans="11:13" x14ac:dyDescent="0.25">
      <c r="K1496" s="46"/>
      <c r="L1496" s="46"/>
      <c r="M1496" s="46"/>
    </row>
    <row r="1497" spans="11:13" x14ac:dyDescent="0.25">
      <c r="K1497" s="46"/>
      <c r="L1497" s="46"/>
      <c r="M1497" s="46"/>
    </row>
    <row r="1498" spans="11:13" x14ac:dyDescent="0.25">
      <c r="K1498" s="46"/>
      <c r="L1498" s="46"/>
      <c r="M1498" s="46"/>
    </row>
    <row r="1499" spans="11:13" x14ac:dyDescent="0.25">
      <c r="K1499" s="46"/>
      <c r="L1499" s="46"/>
      <c r="M1499" s="46"/>
    </row>
    <row r="1500" spans="11:13" x14ac:dyDescent="0.25">
      <c r="K1500" s="46"/>
      <c r="L1500" s="46"/>
      <c r="M1500" s="46"/>
    </row>
    <row r="1501" spans="11:13" x14ac:dyDescent="0.25">
      <c r="K1501" s="46"/>
      <c r="L1501" s="46"/>
      <c r="M1501" s="46"/>
    </row>
    <row r="1502" spans="11:13" x14ac:dyDescent="0.25">
      <c r="K1502" s="46"/>
      <c r="L1502" s="46"/>
      <c r="M1502" s="46"/>
    </row>
    <row r="1503" spans="11:13" x14ac:dyDescent="0.25">
      <c r="K1503" s="46"/>
      <c r="L1503" s="46"/>
      <c r="M1503" s="46"/>
    </row>
    <row r="1504" spans="11:13" x14ac:dyDescent="0.25">
      <c r="K1504" s="46"/>
      <c r="L1504" s="46"/>
      <c r="M1504" s="46"/>
    </row>
    <row r="1505" spans="11:13" x14ac:dyDescent="0.25">
      <c r="K1505" s="46"/>
      <c r="L1505" s="46"/>
      <c r="M1505" s="46"/>
    </row>
    <row r="1506" spans="11:13" x14ac:dyDescent="0.25">
      <c r="K1506" s="46"/>
      <c r="L1506" s="46"/>
      <c r="M1506" s="46"/>
    </row>
    <row r="1507" spans="11:13" x14ac:dyDescent="0.25">
      <c r="K1507" s="46"/>
      <c r="L1507" s="46"/>
      <c r="M1507" s="46"/>
    </row>
    <row r="1508" spans="11:13" x14ac:dyDescent="0.25">
      <c r="K1508" s="46"/>
      <c r="L1508" s="46"/>
      <c r="M1508" s="46"/>
    </row>
    <row r="1509" spans="11:13" x14ac:dyDescent="0.25">
      <c r="K1509" s="46"/>
      <c r="L1509" s="46"/>
      <c r="M1509" s="46"/>
    </row>
    <row r="1510" spans="11:13" x14ac:dyDescent="0.25">
      <c r="K1510" s="46"/>
      <c r="L1510" s="46"/>
      <c r="M1510" s="46"/>
    </row>
    <row r="1511" spans="11:13" x14ac:dyDescent="0.25">
      <c r="K1511" s="46"/>
      <c r="L1511" s="46"/>
      <c r="M1511" s="46"/>
    </row>
    <row r="1512" spans="11:13" x14ac:dyDescent="0.25">
      <c r="K1512" s="46"/>
      <c r="L1512" s="46"/>
      <c r="M1512" s="46"/>
    </row>
    <row r="1513" spans="11:13" x14ac:dyDescent="0.25">
      <c r="K1513" s="46"/>
      <c r="L1513" s="46"/>
      <c r="M1513" s="46"/>
    </row>
    <row r="1514" spans="11:13" x14ac:dyDescent="0.25">
      <c r="K1514" s="46"/>
      <c r="L1514" s="46"/>
      <c r="M1514" s="46"/>
    </row>
    <row r="1515" spans="11:13" x14ac:dyDescent="0.25">
      <c r="K1515" s="46"/>
      <c r="L1515" s="46"/>
      <c r="M1515" s="46"/>
    </row>
    <row r="1516" spans="11:13" x14ac:dyDescent="0.25">
      <c r="K1516" s="46"/>
      <c r="L1516" s="46"/>
      <c r="M1516" s="46"/>
    </row>
    <row r="1517" spans="11:13" x14ac:dyDescent="0.25">
      <c r="K1517" s="46"/>
      <c r="L1517" s="46"/>
      <c r="M1517" s="46"/>
    </row>
    <row r="1518" spans="11:13" x14ac:dyDescent="0.25">
      <c r="K1518" s="46"/>
      <c r="L1518" s="46"/>
      <c r="M1518" s="46"/>
    </row>
    <row r="1519" spans="11:13" x14ac:dyDescent="0.25">
      <c r="K1519" s="46"/>
      <c r="L1519" s="46"/>
      <c r="M1519" s="46"/>
    </row>
    <row r="1520" spans="11:13" x14ac:dyDescent="0.25">
      <c r="K1520" s="46"/>
      <c r="L1520" s="46"/>
      <c r="M1520" s="46"/>
    </row>
    <row r="1521" spans="11:13" x14ac:dyDescent="0.25">
      <c r="K1521" s="46"/>
      <c r="L1521" s="46"/>
      <c r="M1521" s="46"/>
    </row>
    <row r="1522" spans="11:13" x14ac:dyDescent="0.25">
      <c r="K1522" s="46"/>
      <c r="L1522" s="46"/>
      <c r="M1522" s="46"/>
    </row>
    <row r="1523" spans="11:13" x14ac:dyDescent="0.25">
      <c r="K1523" s="46"/>
      <c r="L1523" s="46"/>
      <c r="M1523" s="46"/>
    </row>
    <row r="1524" spans="11:13" x14ac:dyDescent="0.25">
      <c r="K1524" s="46"/>
      <c r="L1524" s="46"/>
      <c r="M1524" s="46"/>
    </row>
    <row r="1525" spans="11:13" x14ac:dyDescent="0.25">
      <c r="K1525" s="46"/>
      <c r="L1525" s="46"/>
      <c r="M1525" s="46"/>
    </row>
    <row r="1526" spans="11:13" x14ac:dyDescent="0.25">
      <c r="K1526" s="46"/>
      <c r="L1526" s="46"/>
      <c r="M1526" s="46"/>
    </row>
    <row r="1527" spans="11:13" x14ac:dyDescent="0.25">
      <c r="K1527" s="46"/>
      <c r="L1527" s="46"/>
      <c r="M1527" s="46"/>
    </row>
    <row r="1528" spans="11:13" x14ac:dyDescent="0.25">
      <c r="K1528" s="46"/>
      <c r="L1528" s="46"/>
      <c r="M1528" s="46"/>
    </row>
    <row r="1529" spans="11:13" x14ac:dyDescent="0.25">
      <c r="K1529" s="46"/>
      <c r="L1529" s="46"/>
      <c r="M1529" s="46"/>
    </row>
    <row r="1530" spans="11:13" x14ac:dyDescent="0.25">
      <c r="K1530" s="46"/>
      <c r="L1530" s="46"/>
      <c r="M1530" s="46"/>
    </row>
    <row r="1531" spans="11:13" x14ac:dyDescent="0.25">
      <c r="K1531" s="46"/>
      <c r="L1531" s="46"/>
      <c r="M1531" s="46"/>
    </row>
    <row r="1532" spans="11:13" x14ac:dyDescent="0.25">
      <c r="K1532" s="46"/>
      <c r="L1532" s="46"/>
      <c r="M1532" s="46"/>
    </row>
    <row r="1533" spans="11:13" x14ac:dyDescent="0.25">
      <c r="K1533" s="46"/>
      <c r="L1533" s="46"/>
      <c r="M1533" s="46"/>
    </row>
    <row r="1534" spans="11:13" x14ac:dyDescent="0.25">
      <c r="K1534" s="46"/>
      <c r="L1534" s="46"/>
      <c r="M1534" s="46"/>
    </row>
    <row r="1535" spans="11:13" x14ac:dyDescent="0.25">
      <c r="K1535" s="46"/>
      <c r="L1535" s="46"/>
      <c r="M1535" s="46"/>
    </row>
    <row r="1536" spans="11:13" x14ac:dyDescent="0.25">
      <c r="K1536" s="46"/>
      <c r="L1536" s="46"/>
      <c r="M1536" s="46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26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 display="1337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5" r:id="rId1121"/>
    <hyperlink ref="C1126" r:id="rId1122"/>
  </hyperlinks>
  <pageMargins left="0.7" right="0.7" top="0.75" bottom="0.75" header="0.3" footer="0.3"/>
  <pageSetup orientation="portrait" horizontalDpi="4294967293" verticalDpi="0" r:id="rId1123"/>
  <drawing r:id="rId112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MyPortfolio</vt:lpstr>
      <vt:lpstr>DataSource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Marquez</dc:creator>
  <cp:lastModifiedBy>Ricardo Marquez</cp:lastModifiedBy>
  <dcterms:created xsi:type="dcterms:W3CDTF">2017-09-01T04:49:25Z</dcterms:created>
  <dcterms:modified xsi:type="dcterms:W3CDTF">2017-09-20T21:31:20Z</dcterms:modified>
</cp:coreProperties>
</file>